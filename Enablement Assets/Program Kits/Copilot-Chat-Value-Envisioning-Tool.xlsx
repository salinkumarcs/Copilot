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7"/>
  <workbookPr/>
  <mc:AlternateContent xmlns:mc="http://schemas.openxmlformats.org/markup-compatibility/2006">
    <mc:Choice Requires="x15">
      <x15ac:absPath xmlns:x15ac="http://schemas.microsoft.com/office/spreadsheetml/2010/11/ac" url="https://microsoft.sharepoint-df.com/teams/BusinessCaseBuilder-ModernWorkSecurity-BVHQ/Shared Documents/Copilot VET/"/>
    </mc:Choice>
  </mc:AlternateContent>
  <xr:revisionPtr revIDLastSave="0" documentId="8_{550E91B8-6B8D-4138-9C78-08D8069B8759}" xr6:coauthVersionLast="47" xr6:coauthVersionMax="47" xr10:uidLastSave="{00000000-0000-0000-0000-000000000000}"/>
  <bookViews>
    <workbookView xWindow="-120" yWindow="-120" windowWidth="29040" windowHeight="17520" tabRatio="579" firstSheet="2" activeTab="2" xr2:uid="{BE2B6758-ED59-49FD-86AF-BF02CC342D7A}"/>
  </bookViews>
  <sheets>
    <sheet name="Tool" sheetId="10" state="hidden" r:id="rId1"/>
    <sheet name="Read Me" sheetId="13" r:id="rId2"/>
    <sheet name="Value Envisioning" sheetId="1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4" i="12" l="1"/>
  <c r="G28" i="12"/>
  <c r="H28" i="12"/>
  <c r="F35" i="12"/>
  <c r="G35" i="12"/>
  <c r="H35" i="12"/>
  <c r="I35" i="12"/>
  <c r="J35" i="12"/>
  <c r="K35" i="12"/>
  <c r="L35" i="12"/>
  <c r="E35" i="12"/>
  <c r="F27" i="12"/>
  <c r="H26" i="12"/>
  <c r="U36" i="12" l="1"/>
  <c r="U35" i="12"/>
  <c r="U31" i="12"/>
  <c r="L31" i="12"/>
  <c r="K31" i="12"/>
  <c r="K32" i="12" s="1"/>
  <c r="J31" i="12"/>
  <c r="I31" i="12"/>
  <c r="H31" i="12"/>
  <c r="G31" i="12"/>
  <c r="F31" i="12"/>
  <c r="E31" i="12"/>
  <c r="K28" i="12"/>
  <c r="U27" i="12"/>
  <c r="L27" i="12"/>
  <c r="K27" i="12"/>
  <c r="J27" i="12"/>
  <c r="I27" i="12"/>
  <c r="H27" i="12"/>
  <c r="G27" i="12"/>
  <c r="E27" i="12"/>
  <c r="L26" i="12"/>
  <c r="K26" i="12"/>
  <c r="J26" i="12"/>
  <c r="J28" i="12" s="1"/>
  <c r="J32" i="12" s="1"/>
  <c r="I26" i="12"/>
  <c r="I28" i="12" s="1"/>
  <c r="I32" i="12" s="1"/>
  <c r="G26" i="12"/>
  <c r="F26" i="12"/>
  <c r="F28" i="12" s="1"/>
  <c r="F32" i="12" s="1"/>
  <c r="E26" i="12"/>
  <c r="L28" i="12" l="1"/>
  <c r="L32" i="12" s="1"/>
  <c r="G32" i="12"/>
  <c r="G36" i="12" s="1"/>
  <c r="G41" i="12" s="1"/>
  <c r="G42" i="12" s="1"/>
  <c r="E28" i="12"/>
  <c r="E32" i="12" s="1"/>
  <c r="E37" i="12" s="1"/>
  <c r="U37" i="12"/>
  <c r="H32" i="12"/>
  <c r="H37" i="12" s="1"/>
  <c r="J37" i="12"/>
  <c r="J36" i="12"/>
  <c r="J41" i="12" s="1"/>
  <c r="J42" i="12" s="1"/>
  <c r="K37" i="12"/>
  <c r="K36" i="12"/>
  <c r="K41" i="12" s="1"/>
  <c r="K42" i="12" s="1"/>
  <c r="F37" i="12"/>
  <c r="F36" i="12"/>
  <c r="F41" i="12" s="1"/>
  <c r="G37" i="12"/>
  <c r="I37" i="12"/>
  <c r="I36" i="12"/>
  <c r="I41" i="12" s="1"/>
  <c r="L37" i="12" l="1"/>
  <c r="L36" i="12"/>
  <c r="L41" i="12" s="1"/>
  <c r="L42" i="12" s="1"/>
  <c r="H36" i="12"/>
  <c r="H41" i="12" s="1"/>
  <c r="H42" i="12" s="1"/>
  <c r="E36" i="12"/>
  <c r="E41" i="12" s="1"/>
  <c r="F42" i="12"/>
  <c r="I42" i="12"/>
  <c r="E44" i="12" l="1"/>
  <c r="U9" i="12"/>
  <c r="U26" i="12" s="1"/>
  <c r="U28" i="12" s="1"/>
  <c r="U48" i="12" s="1"/>
  <c r="U49" i="12" s="1"/>
  <c r="E42" i="12"/>
  <c r="E45" i="12" s="1"/>
  <c r="AC13" i="12" s="1"/>
  <c r="AC16" i="12" s="1"/>
  <c r="AC15" i="12"/>
  <c r="AA8" i="12" s="1"/>
  <c r="U32" i="12" l="1"/>
  <c r="U38" i="12" s="1"/>
  <c r="U43" i="12" s="1"/>
  <c r="AI14" i="12"/>
  <c r="AI16" i="12" l="1"/>
  <c r="AI15" i="12"/>
  <c r="U44" i="12"/>
  <c r="AI13" i="12" s="1"/>
  <c r="AA9" i="12" l="1"/>
  <c r="AI17" i="12"/>
  <c r="DS2" i="12" l="1"/>
  <c r="S6" i="10" l="1"/>
  <c r="D22" i="10"/>
  <c r="E22" i="10"/>
  <c r="F22" i="10"/>
  <c r="G22" i="10"/>
  <c r="H22" i="10"/>
  <c r="I22" i="10"/>
  <c r="J22" i="10"/>
  <c r="C22" i="10"/>
  <c r="J27" i="10" l="1"/>
  <c r="J23" i="10"/>
  <c r="D27" i="10"/>
  <c r="E27" i="10"/>
  <c r="F27" i="10"/>
  <c r="G27" i="10"/>
  <c r="H27" i="10"/>
  <c r="I27" i="10"/>
  <c r="D24" i="10"/>
  <c r="E23" i="10"/>
  <c r="F23" i="10"/>
  <c r="G23" i="10"/>
  <c r="H23" i="10"/>
  <c r="I23" i="10"/>
  <c r="O23" i="10"/>
  <c r="O27" i="10"/>
  <c r="O31" i="10"/>
  <c r="O32" i="10"/>
  <c r="C27" i="10"/>
  <c r="C23" i="10"/>
  <c r="F24" i="10" l="1"/>
  <c r="F28" i="10" s="1"/>
  <c r="J24" i="10"/>
  <c r="J28" i="10" s="1"/>
  <c r="J32" i="10" s="1"/>
  <c r="J37" i="10" s="1"/>
  <c r="H24" i="10"/>
  <c r="H28" i="10" s="1"/>
  <c r="H33" i="10" s="1"/>
  <c r="I24" i="10"/>
  <c r="I28" i="10" s="1"/>
  <c r="E24" i="10"/>
  <c r="E28" i="10" s="1"/>
  <c r="G24" i="10"/>
  <c r="G28" i="10" s="1"/>
  <c r="G33" i="10" s="1"/>
  <c r="O33" i="10"/>
  <c r="D28" i="10"/>
  <c r="D32" i="10" s="1"/>
  <c r="D37" i="10" s="1"/>
  <c r="D38" i="10" s="1"/>
  <c r="C24" i="10"/>
  <c r="C28" i="10" s="1"/>
  <c r="C33" i="10" s="1"/>
  <c r="F33" i="10" l="1"/>
  <c r="F32" i="10"/>
  <c r="F37" i="10" s="1"/>
  <c r="F38" i="10" s="1"/>
  <c r="G32" i="10"/>
  <c r="G37" i="10" s="1"/>
  <c r="G38" i="10" s="1"/>
  <c r="J33" i="10"/>
  <c r="I33" i="10"/>
  <c r="I32" i="10"/>
  <c r="I37" i="10" s="1"/>
  <c r="I38" i="10" s="1"/>
  <c r="E33" i="10"/>
  <c r="E32" i="10"/>
  <c r="E37" i="10" s="1"/>
  <c r="E38" i="10" s="1"/>
  <c r="H32" i="10"/>
  <c r="H37" i="10" s="1"/>
  <c r="H38" i="10" s="1"/>
  <c r="D33" i="10"/>
  <c r="J38" i="10"/>
  <c r="C32" i="10"/>
  <c r="C37" i="10" l="1"/>
  <c r="O6" i="10" l="1"/>
  <c r="O22" i="10" s="1"/>
  <c r="O24" i="10" s="1"/>
  <c r="W11" i="10" s="1"/>
  <c r="C40" i="10"/>
  <c r="C38" i="10"/>
  <c r="T11" i="10"/>
  <c r="T12" i="10" s="1"/>
  <c r="S5" i="10" s="1"/>
  <c r="C41" i="10" l="1"/>
  <c r="T10" i="10" s="1"/>
  <c r="O28" i="10"/>
  <c r="O34" i="10" s="1"/>
  <c r="O44" i="10"/>
  <c r="O45" i="10" s="1"/>
  <c r="W13" i="10" l="1"/>
  <c r="O39" i="10"/>
  <c r="W12" i="10" l="1"/>
  <c r="O40" i="10"/>
  <c r="W10" i="10" l="1"/>
  <c r="W1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Andrews Bryant</author>
  </authors>
  <commentList>
    <comment ref="O6" authorId="0" shapeId="0" xr:uid="{CC487093-54CC-4090-9166-0CE98D887012}">
      <text>
        <r>
          <rPr>
            <b/>
            <sz val="9"/>
            <color indexed="81"/>
            <rFont val="Tahoma"/>
            <family val="2"/>
          </rPr>
          <t xml:space="preserve">Autofill: </t>
        </r>
        <r>
          <rPr>
            <sz val="9"/>
            <color indexed="81"/>
            <rFont val="Tahoma"/>
            <family val="2"/>
          </rPr>
          <t>All employees not on M365 Copilot (from step 1)</t>
        </r>
        <r>
          <rPr>
            <b/>
            <sz val="9"/>
            <color indexed="81"/>
            <rFont val="Tahoma"/>
            <family val="2"/>
          </rPr>
          <t xml:space="preserve">
Also Editable:</t>
        </r>
        <r>
          <rPr>
            <sz val="9"/>
            <color indexed="81"/>
            <rFont val="Tahoma"/>
            <family val="2"/>
          </rPr>
          <t xml:space="preserve"> Enter in your preferred value</t>
        </r>
      </text>
    </comment>
    <comment ref="O16" authorId="0" shapeId="0" xr:uid="{3DA2659A-EE1B-450D-8CEB-38099753B279}">
      <text>
        <r>
          <rPr>
            <b/>
            <sz val="9"/>
            <color indexed="81"/>
            <rFont val="Tahoma"/>
            <family val="2"/>
          </rPr>
          <t>2 messages are used per GenAI response
32 messages are used per Tenant Graph response</t>
        </r>
      </text>
    </comment>
    <comment ref="O32" authorId="0" shapeId="0" xr:uid="{4C729F37-677F-4E23-9E88-07A28AE3B0D6}">
      <text>
        <r>
          <rPr>
            <sz val="9"/>
            <color indexed="81"/>
            <rFont val="Tahoma"/>
            <family val="2"/>
          </rPr>
          <t>2 messages are used per GenAI response
32 messages are used per Tenant Graph response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Andrews Bryant</author>
  </authors>
  <commentList>
    <comment ref="U9" authorId="0" shapeId="0" xr:uid="{E91FDB97-3CCE-4485-B445-4305E46A09E6}">
      <text>
        <r>
          <rPr>
            <b/>
            <sz val="9"/>
            <color indexed="81"/>
            <rFont val="Tahoma"/>
            <family val="2"/>
          </rPr>
          <t xml:space="preserve">Autofill: </t>
        </r>
        <r>
          <rPr>
            <sz val="9"/>
            <color indexed="81"/>
            <rFont val="Tahoma"/>
            <family val="2"/>
          </rPr>
          <t>All employees not on M365 Copilot (from step 1)</t>
        </r>
        <r>
          <rPr>
            <b/>
            <sz val="9"/>
            <color indexed="81"/>
            <rFont val="Tahoma"/>
            <family val="2"/>
          </rPr>
          <t xml:space="preserve">
Also Editable:</t>
        </r>
        <r>
          <rPr>
            <sz val="9"/>
            <color indexed="81"/>
            <rFont val="Tahoma"/>
            <family val="2"/>
          </rPr>
          <t xml:space="preserve"> Enter in your preferred value</t>
        </r>
      </text>
    </comment>
    <comment ref="U19" authorId="0" shapeId="0" xr:uid="{90508C0D-120F-46EF-B567-4C4E0F72D4A5}">
      <text>
        <r>
          <rPr>
            <b/>
            <sz val="9"/>
            <color indexed="81"/>
            <rFont val="Tahoma"/>
            <family val="2"/>
          </rPr>
          <t>2 messages are used per GenAI response
32 messages are used per Tenant Graph response</t>
        </r>
      </text>
    </comment>
    <comment ref="U36" authorId="0" shapeId="0" xr:uid="{1EBFCF62-277E-4A06-9EC8-8830515BC723}">
      <text>
        <r>
          <rPr>
            <sz val="9"/>
            <color indexed="81"/>
            <rFont val="Tahoma"/>
            <family val="2"/>
          </rPr>
          <t>2 messages are used per GenAI response
32 messages are used per graph response</t>
        </r>
      </text>
    </comment>
  </commentList>
</comments>
</file>

<file path=xl/sharedStrings.xml><?xml version="1.0" encoding="utf-8"?>
<sst xmlns="http://schemas.openxmlformats.org/spreadsheetml/2006/main" count="290" uniqueCount="157">
  <si>
    <t>Yes</t>
  </si>
  <si>
    <t>Identify your M365 Copilot users</t>
  </si>
  <si>
    <t>Estimate Agent consumption needs for Copilot Chat users</t>
  </si>
  <si>
    <t>Envision company-wide Copilot transformation</t>
  </si>
  <si>
    <t>No</t>
  </si>
  <si>
    <t>Fill in the yellow boxes below to evaluate who in your organization benefits most from M365 Copilot</t>
  </si>
  <si>
    <r>
      <t xml:space="preserve">Fill in the yellow boxes below to estimate your Copilot Chat burn rate
</t>
    </r>
    <r>
      <rPr>
        <i/>
        <sz val="14"/>
        <color rgb="FFFF0000"/>
        <rFont val="Aptos Narrow"/>
        <family val="2"/>
        <scheme val="minor"/>
      </rPr>
      <t>*We currently do not have data to inform these values. Use your best judgement.</t>
    </r>
  </si>
  <si>
    <t>This plan equips your organization with:</t>
  </si>
  <si>
    <t>Secure GenAI chat capabilities using Chat GPT4o for 100% of employees</t>
  </si>
  <si>
    <t>Inputs</t>
  </si>
  <si>
    <t>Sales</t>
  </si>
  <si>
    <t>Marketing</t>
  </si>
  <si>
    <t>Customer Service</t>
  </si>
  <si>
    <t>HR</t>
  </si>
  <si>
    <t>Legal</t>
  </si>
  <si>
    <t>IT</t>
  </si>
  <si>
    <t>Finance</t>
  </si>
  <si>
    <t>Other</t>
  </si>
  <si>
    <t>1. What is the total population in your organization?</t>
  </si>
  <si>
    <t>1. What is the total population that should get Copilot Chat?</t>
  </si>
  <si>
    <t>2. How many users already have M365 Copilot?</t>
  </si>
  <si>
    <t>2. What % of that population will use Copilot Chat Agents?</t>
  </si>
  <si>
    <t>M365 Copilot</t>
  </si>
  <si>
    <t>Copilot Chat</t>
  </si>
  <si>
    <t xml:space="preserve">          Learn more about Copilot Chat Agents here: &lt;&lt; insert link&gt;&gt;</t>
  </si>
  <si>
    <t>3. What % of the population are aligned to high business value scenarios?</t>
  </si>
  <si>
    <r>
      <t>3. How many conversations per month will each user initiate?</t>
    </r>
    <r>
      <rPr>
        <b/>
        <sz val="14"/>
        <color rgb="FFFF0000"/>
        <rFont val="Aptos Narrow"/>
        <family val="2"/>
        <scheme val="minor"/>
      </rPr>
      <t>*</t>
    </r>
  </si>
  <si>
    <t>Monthly Cost</t>
  </si>
  <si>
    <t>Monthly Cost (if using message packs)</t>
  </si>
  <si>
    <t xml:space="preserve">       Learn about high business value scenarios here: &lt;&lt; add links&gt;&gt;</t>
  </si>
  <si>
    <t>Pitch Deck Link</t>
  </si>
  <si>
    <t>Number of licenses needed</t>
  </si>
  <si>
    <t>Number of users using Agents</t>
  </si>
  <si>
    <t>4. What % of the remaining population are GenAI users?</t>
  </si>
  <si>
    <r>
      <t>4. How many messages will be received in each conversation?</t>
    </r>
    <r>
      <rPr>
        <b/>
        <sz val="14"/>
        <color rgb="FFFF0000"/>
        <rFont val="Aptos Narrow"/>
        <family val="2"/>
        <scheme val="minor"/>
      </rPr>
      <t>*</t>
    </r>
  </si>
  <si>
    <t>% of organization on M365 Copilot</t>
  </si>
  <si>
    <t>Number of message packs needed</t>
  </si>
  <si>
    <t>GenAI users are defined as users who will engage with GenAI technology.</t>
  </si>
  <si>
    <t>Monthly Cost (if using PAYG meter)</t>
  </si>
  <si>
    <t>5. What % of GenAI users need to access M365 tenant graph data?</t>
  </si>
  <si>
    <t>5. Will the Agent have genant graph grounding?</t>
  </si>
  <si>
    <t>Incremental cost to upgrade to M365 Copilot</t>
  </si>
  <si>
    <t>Tenant graph data is information from your Microsoft 365 tenant: learn more</t>
  </si>
  <si>
    <t>here</t>
  </si>
  <si>
    <t>6. What percentage of the messages will require tenant graph answer?</t>
  </si>
  <si>
    <t>Complete AI assistant for work</t>
  </si>
  <si>
    <t>Secure AI chat and pay as you go agents</t>
  </si>
  <si>
    <t xml:space="preserve">•  M365 Copilot chat (web scope and work scope)
•  Grounding on your personal graph (Outlook, Onedrive, meeting transcripts)
•  Copilot in M365 Apps
•  Unlimited agent use
•  Copilot security governance tools (SAM)
•  Analytics for usage tracking and adoption and ROI measurement (Copilot Analytics)
•  Pre-built Agents like the Teams Meetings Facilitator, real-time speech Interpreter, and Project Manager </t>
  </si>
  <si>
    <t>•  M365 Copilot chat (web-scope)
•  Use of agents integrated into chat, paid based on consumption
•  IT controls, including Enterprise Data Protection and management</t>
  </si>
  <si>
    <t>Auto-refreshed details (no edits needed)</t>
  </si>
  <si>
    <t>•  Unlimited tenant graph conversations</t>
  </si>
  <si>
    <r>
      <t>Review the more detailed calculations below.</t>
    </r>
    <r>
      <rPr>
        <b/>
        <sz val="12"/>
        <rFont val="Aptos Narrow"/>
        <family val="2"/>
        <scheme val="minor"/>
      </rPr>
      <t xml:space="preserve">
</t>
    </r>
    <r>
      <rPr>
        <b/>
        <sz val="12"/>
        <color rgb="FFFF0000"/>
        <rFont val="Aptos Narrow"/>
        <family val="2"/>
        <scheme val="minor"/>
      </rPr>
      <t>You do not need to edit these values.</t>
    </r>
  </si>
  <si>
    <t>•  Unlimited web-based conversations</t>
  </si>
  <si>
    <t>•  Build your own custom agents</t>
  </si>
  <si>
    <t>1. What % of the population of high business value users?</t>
  </si>
  <si>
    <t>1. How many users will use Agents?</t>
  </si>
  <si>
    <t>•  A suite of Copilot security governance tools (SAM)</t>
  </si>
  <si>
    <t>Total population not already on M365 Copilot</t>
  </si>
  <si>
    <t>Population that can access Agents</t>
  </si>
  <si>
    <t>•  Tools to track usage and increase adoption (Copilot Analytics)</t>
  </si>
  <si>
    <t>% of population working on high business value scenarios</t>
  </si>
  <si>
    <t>Percentage of the population that will use Agents</t>
  </si>
  <si>
    <t xml:space="preserve">•  Pre-built Agents like the Teams Meetings Facilitator, the real- </t>
  </si>
  <si>
    <t>Number of high business value users</t>
  </si>
  <si>
    <t>Number of users</t>
  </si>
  <si>
    <t>time speech Interpreter, and Project Management agents</t>
  </si>
  <si>
    <t>•  Advanced Analytics to measure the ROI impact of Copilot</t>
  </si>
  <si>
    <t>2. What is the population of GenAI users?</t>
  </si>
  <si>
    <t>2. How many conversations will each user initiate?</t>
  </si>
  <si>
    <t>% of high business value users that are also GenAI users</t>
  </si>
  <si>
    <t>Number of conversations per user per month</t>
  </si>
  <si>
    <t>Number of high information intensity users</t>
  </si>
  <si>
    <t>Total number of conversations per month</t>
  </si>
  <si>
    <t>3. What % of GenAI users need to access M365 tenant graph data?</t>
  </si>
  <si>
    <t>3. How many messages will be used?</t>
  </si>
  <si>
    <t>% of users who need to access the M365 tenant graph</t>
  </si>
  <si>
    <t>Number of GenAI messages per conversation</t>
  </si>
  <si>
    <t>Number of tenant graph users</t>
  </si>
  <si>
    <t>Percent of responses that use Tenant Graph data</t>
  </si>
  <si>
    <t>Number of basic users</t>
  </si>
  <si>
    <t>Number of messages used per conversation</t>
  </si>
  <si>
    <t>Total number of messages needed</t>
  </si>
  <si>
    <t>4. What is the Cost to deploy M365 Copilot for target users?</t>
  </si>
  <si>
    <t>Estimated Retail Price per license</t>
  </si>
  <si>
    <t>4. What is the cost of using Copilot Chat?</t>
  </si>
  <si>
    <t>Number of licenses</t>
  </si>
  <si>
    <t>Number of messages per pack</t>
  </si>
  <si>
    <t>Total cost of M365 Copilot licenses per month</t>
  </si>
  <si>
    <t>Price per message pack</t>
  </si>
  <si>
    <t>Number of message packs</t>
  </si>
  <si>
    <t>Total number of M365 Copilot licenses</t>
  </si>
  <si>
    <t>Total Cost</t>
  </si>
  <si>
    <t>Monthly Cost for M365 Copilot</t>
  </si>
  <si>
    <t>(Public Estimated Retail Prices)</t>
  </si>
  <si>
    <t>5. What is the cost if using M365 Copilot?</t>
  </si>
  <si>
    <t>Price per license</t>
  </si>
  <si>
    <t>This is the first version of a tool intended to help customers envision their M365 Copilot and Copilot Chat user populations, and understand value and high level costs.</t>
  </si>
  <si>
    <t>We are actively seeking feedback and feature requests.</t>
  </si>
  <si>
    <t>Please send any comments, questions, and recommendations to:</t>
  </si>
  <si>
    <t>BCBhelp@microsoft.com</t>
  </si>
  <si>
    <t xml:space="preserve">or contact Andrews Bryant </t>
  </si>
  <si>
    <t>(anbryant@microsoft.com)</t>
  </si>
  <si>
    <t>Your calculation shows that Copilot Chat is the cheapest option to build your desired Agent. However, this analysis does not consider the additional Agents your organization can build with an M365 Copilot licenses or the additional benefits M365 Copilot can bring to your organization for an additional $</t>
  </si>
  <si>
    <t>Lead with M365 Copilot as the hero solution</t>
  </si>
  <si>
    <t>Analyze Copilot Chat</t>
  </si>
  <si>
    <t>Envision company-wide value</t>
  </si>
  <si>
    <t>. Consult your sales representative or partner to evaluate if you should instead use M365 Copilot.</t>
  </si>
  <si>
    <t xml:space="preserve">
</t>
  </si>
  <si>
    <t>Fill in the yellow boxes below to estimate your Copilot Chat burn rate</t>
  </si>
  <si>
    <t>Equip your organization with:</t>
  </si>
  <si>
    <t>*We currently do not have data to inform these values. Use your best judgement.</t>
  </si>
  <si>
    <t>Secure GenAI chat capabilities using Chat GPT4o and pay-as-you-go agents for 100% of employees</t>
  </si>
  <si>
    <t>The most cost effective solution to build your Agent is M365 Copilot</t>
  </si>
  <si>
    <t>What is the total population in your organization?</t>
  </si>
  <si>
    <t>What is the total population that should get Copilot Chat?</t>
  </si>
  <si>
    <t>How many users already have M365 Copilot?</t>
  </si>
  <si>
    <t>What percentage of that population will use Copilot Chat agents?</t>
  </si>
  <si>
    <t>Learn more about Copilot Chat agents here</t>
  </si>
  <si>
    <t>What % of the remaining population are aligned to high business value scenarios?</t>
  </si>
  <si>
    <r>
      <t>How many conversations per month will each user initiate?</t>
    </r>
    <r>
      <rPr>
        <b/>
        <sz val="12"/>
        <rFont val="Segoe UI Semibold"/>
        <family val="2"/>
      </rPr>
      <t>*</t>
    </r>
  </si>
  <si>
    <t>Learn about high business value scenarios here</t>
  </si>
  <si>
    <t>Number of users using agents</t>
  </si>
  <si>
    <t>What % of the remaining population will engage with GenAI</t>
  </si>
  <si>
    <r>
      <t>How many messages will be received in each conversation?</t>
    </r>
    <r>
      <rPr>
        <b/>
        <sz val="12"/>
        <rFont val="Segoe UI Semibold"/>
        <family val="2"/>
      </rPr>
      <t>*</t>
    </r>
  </si>
  <si>
    <t>Annual M365 Copilot cost</t>
  </si>
  <si>
    <t>What % of GenAI users need to access graph-connect data?</t>
  </si>
  <si>
    <t>Will the Agent have graph grounding?</t>
  </si>
  <si>
    <t>Includes graph connections to M365 tenant or 3rd party system of records</t>
  </si>
  <si>
    <t>Tenant graph data is information from your Microsoft 365 tenant: learn more here</t>
  </si>
  <si>
    <t>What percentage of the messages will require a M365 tenant graph answer?</t>
  </si>
  <si>
    <t>Secure AI chat and pay-as-you-go agents</t>
  </si>
  <si>
    <r>
      <t xml:space="preserve">Review the more detailed calculations below. </t>
    </r>
    <r>
      <rPr>
        <b/>
        <i/>
        <sz val="10"/>
        <color rgb="FFFF0000"/>
        <rFont val="Segoe UI"/>
        <family val="2"/>
      </rPr>
      <t>You do not need to edit these values.</t>
    </r>
  </si>
  <si>
    <r>
      <rPr>
        <i/>
        <sz val="10"/>
        <rFont val="Segoe UI"/>
        <family val="2"/>
      </rPr>
      <t xml:space="preserve">Review the more detailed calculations below. </t>
    </r>
    <r>
      <rPr>
        <b/>
        <i/>
        <sz val="10"/>
        <color rgb="FFFF0000"/>
        <rFont val="Segoe UI"/>
        <family val="2"/>
      </rPr>
      <t>You do not need to edit these values.</t>
    </r>
  </si>
  <si>
    <t>·</t>
  </si>
  <si>
    <t>M365 Copilot Chat (web scope and work scope)</t>
  </si>
  <si>
    <t>M365 Copilot Chat (web scope)</t>
  </si>
  <si>
    <t>Grounding on your personal graph (Outlook, OneDrive, meeting transcripts)</t>
  </si>
  <si>
    <t>Use of agents integrated into chat, paid based on consumption</t>
  </si>
  <si>
    <t>What % of the population is high business value users?</t>
  </si>
  <si>
    <t>How many users will use agents?</t>
  </si>
  <si>
    <t>Copilot in M365 Applications</t>
  </si>
  <si>
    <t>IT controls including Enterprise Data Protection and management</t>
  </si>
  <si>
    <t>Population that can access agents</t>
  </si>
  <si>
    <t>Unlimited agent use</t>
  </si>
  <si>
    <t>Percentage of the population that will use agents</t>
  </si>
  <si>
    <t>Copilot security governance tools (SAM)</t>
  </si>
  <si>
    <t>Analytics for usage tracking, adoption, and ROI measurement (Copilot Analytics)</t>
  </si>
  <si>
    <t xml:space="preserve">Pre-built agents like the Teams Meetings Facilitator, the real-time speech Interpreter, and Project Manager </t>
  </si>
  <si>
    <t>What is the population of GenAI users?</t>
  </si>
  <si>
    <t>How many conversations will each user initiate?</t>
  </si>
  <si>
    <t>What % of GenAI users need to access M365 tenant graph data?</t>
  </si>
  <si>
    <t>How many messages will be used?</t>
  </si>
  <si>
    <t>Number tenant graph users</t>
  </si>
  <si>
    <t>Percent of responses that use graph connections</t>
  </si>
  <si>
    <t>What is the Cost to deploy M365 Copilot for target users?</t>
  </si>
  <si>
    <t>What is the cost of using Copilot Chat?</t>
  </si>
  <si>
    <t>What is the cost if using M365 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</si>
</sst>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quot;$&quot;#,##0.00"/>
    <numFmt numFmtId="166" formatCode="&quot;$&quot;#,##0"/>
    <numFmt numFmtId="167" formatCode="0.0"/>
  </numFmts>
  <fonts count="8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i/>
      <sz val="12"/>
      <color theme="1"/>
      <name val="Aptos Narrow"/>
      <family val="2"/>
      <scheme val="minor"/>
    </font>
    <font>
      <b/>
      <sz val="12"/>
      <color theme="0"/>
      <name val="Aptos Narrow"/>
      <family val="2"/>
      <scheme val="minor"/>
    </font>
    <font>
      <b/>
      <sz val="12"/>
      <name val="Aptos Narrow"/>
      <family val="2"/>
      <scheme val="minor"/>
    </font>
    <font>
      <sz val="9"/>
      <color indexed="81"/>
      <name val="Tahoma"/>
      <family val="2"/>
    </font>
    <font>
      <u/>
      <sz val="11"/>
      <color theme="10"/>
      <name val="Aptos Narrow"/>
      <family val="2"/>
      <scheme val="minor"/>
    </font>
    <font>
      <sz val="14"/>
      <color theme="1"/>
      <name val="Aptos Narrow"/>
      <family val="2"/>
      <scheme val="minor"/>
    </font>
    <font>
      <b/>
      <sz val="14"/>
      <color theme="1"/>
      <name val="Aptos Narrow"/>
      <family val="2"/>
      <scheme val="minor"/>
    </font>
    <font>
      <b/>
      <sz val="14"/>
      <color theme="0"/>
      <name val="Aptos Narrow"/>
      <family val="2"/>
      <scheme val="minor"/>
    </font>
    <font>
      <sz val="12"/>
      <name val="Aptos Narrow"/>
      <family val="2"/>
      <scheme val="minor"/>
    </font>
    <font>
      <b/>
      <sz val="12"/>
      <color rgb="FFFF0000"/>
      <name val="Aptos Narrow"/>
      <family val="2"/>
      <scheme val="minor"/>
    </font>
    <font>
      <i/>
      <sz val="11"/>
      <color theme="1"/>
      <name val="Aptos Narrow"/>
      <family val="2"/>
      <scheme val="minor"/>
    </font>
    <font>
      <b/>
      <sz val="14"/>
      <name val="Aptos Narrow"/>
      <family val="2"/>
      <scheme val="minor"/>
    </font>
    <font>
      <b/>
      <sz val="14"/>
      <color rgb="FFFF0000"/>
      <name val="Aptos Narrow"/>
      <family val="2"/>
      <scheme val="minor"/>
    </font>
    <font>
      <b/>
      <sz val="9"/>
      <color indexed="81"/>
      <name val="Tahoma"/>
      <family val="2"/>
    </font>
    <font>
      <i/>
      <sz val="14"/>
      <color rgb="FFFF0000"/>
      <name val="Aptos Narrow"/>
      <family val="2"/>
      <scheme val="minor"/>
    </font>
    <font>
      <b/>
      <sz val="16"/>
      <color rgb="FFFF0000"/>
      <name val="Aptos Narrow"/>
      <family val="2"/>
      <scheme val="minor"/>
    </font>
    <font>
      <i/>
      <u/>
      <sz val="11"/>
      <color theme="10"/>
      <name val="Aptos Narrow"/>
      <family val="2"/>
      <scheme val="minor"/>
    </font>
    <font>
      <sz val="16"/>
      <color theme="1"/>
      <name val="Aptos Narrow"/>
      <family val="2"/>
      <scheme val="minor"/>
    </font>
    <font>
      <b/>
      <i/>
      <sz val="14"/>
      <color theme="1"/>
      <name val="Aptos Narrow"/>
      <family val="2"/>
      <scheme val="minor"/>
    </font>
    <font>
      <b/>
      <sz val="16"/>
      <color theme="0"/>
      <name val="Aptos Narrow"/>
      <family val="2"/>
      <scheme val="minor"/>
    </font>
    <font>
      <sz val="10"/>
      <color theme="1"/>
      <name val="Aptos Narrow"/>
      <family val="2"/>
      <scheme val="minor"/>
    </font>
    <font>
      <i/>
      <sz val="11"/>
      <color rgb="FF000000"/>
      <name val="Aptos Narrow"/>
      <family val="2"/>
      <scheme val="minor"/>
    </font>
    <font>
      <i/>
      <sz val="9"/>
      <color theme="1"/>
      <name val="Aptos Narrow"/>
      <family val="2"/>
      <scheme val="minor"/>
    </font>
    <font>
      <sz val="10"/>
      <color theme="1"/>
      <name val="Segoe UI"/>
      <family val="2"/>
    </font>
    <font>
      <sz val="11"/>
      <color theme="1"/>
      <name val="Segoe UI"/>
      <family val="2"/>
    </font>
    <font>
      <sz val="12"/>
      <color theme="1"/>
      <name val="Segoe UI"/>
      <family val="2"/>
    </font>
    <font>
      <b/>
      <sz val="16"/>
      <color theme="0"/>
      <name val="Segoe UI"/>
      <family val="2"/>
    </font>
    <font>
      <sz val="16"/>
      <color theme="1"/>
      <name val="Segoe UI"/>
      <family val="2"/>
    </font>
    <font>
      <sz val="14"/>
      <color theme="1"/>
      <name val="Segoe UI"/>
      <family val="2"/>
    </font>
    <font>
      <b/>
      <sz val="14"/>
      <color rgb="FFE9CE83"/>
      <name val="Segoe UI"/>
      <family val="2"/>
    </font>
    <font>
      <b/>
      <sz val="14"/>
      <name val="Segoe UI"/>
      <family val="2"/>
    </font>
    <font>
      <b/>
      <sz val="14"/>
      <color rgb="FFF39A8E"/>
      <name val="Segoe UI"/>
      <family val="2"/>
    </font>
    <font>
      <i/>
      <sz val="12"/>
      <color theme="1"/>
      <name val="Segoe UI"/>
      <family val="2"/>
    </font>
    <font>
      <b/>
      <i/>
      <sz val="10"/>
      <color rgb="FFFF0000"/>
      <name val="Segoe UI"/>
      <family val="2"/>
    </font>
    <font>
      <sz val="12"/>
      <color rgb="FFEB5E4B"/>
      <name val="Segoe UI Semibold"/>
      <family val="2"/>
    </font>
    <font>
      <sz val="11"/>
      <color rgb="FFA690D1"/>
      <name val="Segoe UI"/>
      <family val="2"/>
    </font>
    <font>
      <sz val="12"/>
      <color theme="1" tint="0.14999847407452621"/>
      <name val="Segoe UI Semibold"/>
      <family val="2"/>
    </font>
    <font>
      <b/>
      <sz val="12"/>
      <color theme="1" tint="0.14999847407452621"/>
      <name val="Segoe UI"/>
      <family val="2"/>
    </font>
    <font>
      <b/>
      <sz val="11"/>
      <color theme="1"/>
      <name val="Segoe UI"/>
      <family val="2"/>
    </font>
    <font>
      <b/>
      <sz val="12"/>
      <color theme="1" tint="0.14999847407452621"/>
      <name val="Segoe UI Semibold"/>
      <family val="2"/>
    </font>
    <font>
      <b/>
      <sz val="12"/>
      <name val="Segoe UI"/>
      <family val="2"/>
    </font>
    <font>
      <sz val="12"/>
      <color rgb="FFA690D1"/>
      <name val="Segoe UI Semibold"/>
      <family val="2"/>
    </font>
    <font>
      <sz val="12"/>
      <color theme="1" tint="0.14999847407452621"/>
      <name val="Segoe UI"/>
      <family val="2"/>
    </font>
    <font>
      <sz val="12"/>
      <color rgb="FF86C4B2"/>
      <name val="Segoe UI Semibold"/>
      <family val="2"/>
    </font>
    <font>
      <sz val="14"/>
      <color rgb="FF00B050"/>
      <name val="Segoe UI Semibold"/>
      <family val="2"/>
    </font>
    <font>
      <sz val="11"/>
      <color theme="1" tint="0.14999847407452621"/>
      <name val="Segoe UI"/>
      <family val="2"/>
    </font>
    <font>
      <b/>
      <u/>
      <sz val="16"/>
      <color rgb="FFEB5E4B"/>
      <name val="Segoe UI"/>
      <family val="2"/>
    </font>
    <font>
      <i/>
      <sz val="10"/>
      <color theme="1" tint="0.34998626667073579"/>
      <name val="Segoe UI"/>
      <family val="2"/>
    </font>
    <font>
      <i/>
      <u/>
      <sz val="10"/>
      <color theme="1" tint="0.34998626667073579"/>
      <name val="Segoe UI"/>
      <family val="2"/>
    </font>
    <font>
      <i/>
      <u/>
      <sz val="11"/>
      <color theme="10"/>
      <name val="Segoe UI"/>
      <family val="2"/>
    </font>
    <font>
      <b/>
      <sz val="12"/>
      <color rgb="FF00B050"/>
      <name val="Segoe UI Semibold"/>
      <family val="2"/>
    </font>
    <font>
      <b/>
      <sz val="12"/>
      <color rgb="FF00B050"/>
      <name val="Segoe UI"/>
      <family val="2"/>
    </font>
    <font>
      <sz val="12"/>
      <name val="Segoe UI"/>
      <family val="2"/>
    </font>
    <font>
      <b/>
      <sz val="16"/>
      <color rgb="FFFF0000"/>
      <name val="Segoe UI"/>
      <family val="2"/>
    </font>
    <font>
      <b/>
      <sz val="14"/>
      <color theme="0"/>
      <name val="Segoe UI"/>
      <family val="2"/>
    </font>
    <font>
      <b/>
      <i/>
      <sz val="14"/>
      <color theme="1"/>
      <name val="Segoe UI"/>
      <family val="2"/>
    </font>
    <font>
      <b/>
      <sz val="14"/>
      <color rgb="FFEB5E4B"/>
      <name val="Segoe UI Semibold"/>
      <family val="2"/>
    </font>
    <font>
      <b/>
      <sz val="12"/>
      <color theme="1"/>
      <name val="Segoe UI"/>
      <family val="2"/>
    </font>
    <font>
      <i/>
      <sz val="10"/>
      <name val="Segoe UI"/>
      <family val="2"/>
    </font>
    <font>
      <b/>
      <i/>
      <sz val="10"/>
      <name val="Segoe UI"/>
      <family val="2"/>
    </font>
    <font>
      <sz val="11"/>
      <color rgb="FFEB5E4B"/>
      <name val="Symbol"/>
      <family val="1"/>
      <charset val="2"/>
    </font>
    <font>
      <b/>
      <sz val="12"/>
      <color theme="0"/>
      <name val="Segoe UI"/>
      <family val="2"/>
    </font>
    <font>
      <sz val="11"/>
      <color rgb="FFA690D1"/>
      <name val="Segoe UI Semibold"/>
      <family val="2"/>
    </font>
    <font>
      <b/>
      <sz val="12"/>
      <color rgb="FF86C4B2"/>
      <name val="Segoe UI"/>
      <family val="2"/>
    </font>
    <font>
      <b/>
      <sz val="12"/>
      <color rgb="FFE0BA4E"/>
      <name val="Segoe UI"/>
      <family val="2"/>
    </font>
    <font>
      <sz val="16"/>
      <color theme="1"/>
      <name val="Segoe UI Semibold"/>
      <family val="2"/>
    </font>
    <font>
      <u/>
      <sz val="16"/>
      <color theme="10"/>
      <name val="Segoe UI Semibold"/>
      <family val="2"/>
    </font>
    <font>
      <b/>
      <u/>
      <sz val="14"/>
      <color rgb="FF6D4AB4"/>
      <name val="Segoe UI"/>
      <family val="2"/>
    </font>
    <font>
      <sz val="12"/>
      <color rgb="FF6D4AB4"/>
      <name val="Segoe UI Semibold"/>
      <family val="2"/>
    </font>
    <font>
      <b/>
      <sz val="12"/>
      <color rgb="FF6D4AB4"/>
      <name val="Segoe UI Semibold"/>
      <family val="2"/>
    </font>
    <font>
      <i/>
      <sz val="10"/>
      <color theme="1" tint="0.249977111117893"/>
      <name val="Segoe UI"/>
      <family val="2"/>
    </font>
    <font>
      <sz val="12"/>
      <color rgb="FF428673"/>
      <name val="Segoe UI Semibold"/>
      <family val="2"/>
    </font>
    <font>
      <b/>
      <u/>
      <sz val="14"/>
      <color rgb="FF428673"/>
      <name val="Segoe UI"/>
      <family val="2"/>
    </font>
    <font>
      <i/>
      <u/>
      <sz val="10"/>
      <color theme="1" tint="0.249977111117893"/>
      <name val="Segoe UI"/>
      <family val="2"/>
    </font>
    <font>
      <b/>
      <sz val="12"/>
      <name val="Segoe UI Semibold"/>
      <family val="2"/>
    </font>
    <font>
      <i/>
      <sz val="11"/>
      <color theme="1" tint="0.34998626667073579"/>
      <name val="Segoe UI"/>
      <family val="2"/>
    </font>
  </fonts>
  <fills count="18">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78D4"/>
        <bgColor indexed="64"/>
      </patternFill>
    </fill>
    <fill>
      <patternFill patternType="solid">
        <fgColor theme="0" tint="-0.14999847407452621"/>
        <bgColor indexed="64"/>
      </patternFill>
    </fill>
    <fill>
      <patternFill patternType="solid">
        <fgColor rgb="FF463668"/>
        <bgColor indexed="64"/>
      </patternFill>
    </fill>
    <fill>
      <patternFill patternType="solid">
        <fgColor rgb="FF9966FF"/>
        <bgColor indexed="64"/>
      </patternFill>
    </fill>
    <fill>
      <patternFill patternType="solid">
        <fgColor rgb="FF702573"/>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rgb="FFF3F3F5"/>
        <bgColor indexed="64"/>
      </patternFill>
    </fill>
    <fill>
      <patternFill patternType="solid">
        <fgColor rgb="FFD7CDEB"/>
        <bgColor indexed="64"/>
      </patternFill>
    </fill>
    <fill>
      <patternFill patternType="solid">
        <fgColor rgb="FFCFE7E0"/>
        <bgColor indexed="64"/>
      </patternFill>
    </fill>
    <fill>
      <patternFill patternType="solid">
        <fgColor rgb="FFFBDAD5"/>
        <bgColor indexed="64"/>
      </patternFill>
    </fill>
    <fill>
      <patternFill patternType="solid">
        <fgColor rgb="FFF3E4BB"/>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style="thin">
        <color indexed="64"/>
      </bottom>
      <diagonal/>
    </border>
    <border>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theme="0" tint="-0.14996795556505021"/>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right/>
      <top/>
      <bottom style="thin">
        <color theme="0"/>
      </bottom>
      <diagonal/>
    </border>
    <border>
      <left style="thin">
        <color rgb="FFA690D1"/>
      </left>
      <right style="thin">
        <color rgb="FFA690D1"/>
      </right>
      <top style="thin">
        <color rgb="FFA690D1"/>
      </top>
      <bottom style="thin">
        <color rgb="FFA690D1"/>
      </bottom>
      <diagonal/>
    </border>
    <border>
      <left style="thin">
        <color rgb="FFA690D1"/>
      </left>
      <right/>
      <top style="thin">
        <color rgb="FFA690D1"/>
      </top>
      <bottom style="thin">
        <color rgb="FFA690D1"/>
      </bottom>
      <diagonal/>
    </border>
    <border>
      <left style="thin">
        <color rgb="FF86C4B2"/>
      </left>
      <right style="thin">
        <color rgb="FF86C4B2"/>
      </right>
      <top style="thin">
        <color rgb="FF86C4B2"/>
      </top>
      <bottom style="thin">
        <color rgb="FF86C4B2"/>
      </bottom>
      <diagonal/>
    </border>
    <border>
      <left/>
      <right/>
      <top style="thin">
        <color rgb="FFF39A8E"/>
      </top>
      <bottom/>
      <diagonal/>
    </border>
    <border>
      <left/>
      <right/>
      <top style="thin">
        <color theme="0"/>
      </top>
      <bottom style="thin">
        <color rgb="FFF39A8E"/>
      </bottom>
      <diagonal/>
    </border>
    <border>
      <left/>
      <right style="thin">
        <color theme="0"/>
      </right>
      <top style="thin">
        <color theme="0"/>
      </top>
      <bottom style="thin">
        <color rgb="FFF39A8E"/>
      </bottom>
      <diagonal/>
    </border>
    <border>
      <left style="thin">
        <color theme="0"/>
      </left>
      <right/>
      <top style="thin">
        <color theme="0"/>
      </top>
      <bottom style="thin">
        <color rgb="FFF39A8E"/>
      </bottom>
      <diagonal/>
    </border>
    <border>
      <left/>
      <right/>
      <top style="thin">
        <color theme="0"/>
      </top>
      <bottom/>
      <diagonal/>
    </border>
    <border>
      <left/>
      <right/>
      <top style="thin">
        <color theme="0"/>
      </top>
      <bottom style="thin">
        <color theme="0"/>
      </bottom>
      <diagonal/>
    </border>
    <border>
      <left/>
      <right/>
      <top style="thin">
        <color rgb="FFA690D1"/>
      </top>
      <bottom/>
      <diagonal/>
    </border>
    <border>
      <left/>
      <right style="thin">
        <color theme="0"/>
      </right>
      <top style="thin">
        <color rgb="FFA690D1"/>
      </top>
      <bottom/>
      <diagonal/>
    </border>
    <border>
      <left style="thin">
        <color theme="0"/>
      </left>
      <right style="thin">
        <color theme="0"/>
      </right>
      <top style="thin">
        <color rgb="FFA690D1"/>
      </top>
      <bottom/>
      <diagonal/>
    </border>
    <border>
      <left style="thin">
        <color theme="0"/>
      </left>
      <right/>
      <top style="thin">
        <color rgb="FFA690D1"/>
      </top>
      <bottom/>
      <diagonal/>
    </border>
    <border>
      <left/>
      <right/>
      <top style="thin">
        <color rgb="FF91C9B9"/>
      </top>
      <bottom/>
      <diagonal/>
    </border>
    <border>
      <left/>
      <right style="thin">
        <color theme="0"/>
      </right>
      <top style="thin">
        <color rgb="FF91C9B9"/>
      </top>
      <bottom/>
      <diagonal/>
    </border>
    <border>
      <left style="thin">
        <color theme="0"/>
      </left>
      <right/>
      <top style="thin">
        <color rgb="FF91C9B9"/>
      </top>
      <bottom/>
      <diagonal/>
    </border>
    <border>
      <left/>
      <right/>
      <top style="thin">
        <color theme="0"/>
      </top>
      <bottom style="thin">
        <color rgb="FF86C4B2"/>
      </bottom>
      <diagonal/>
    </border>
    <border>
      <left/>
      <right style="thin">
        <color theme="0"/>
      </right>
      <top style="thin">
        <color theme="0"/>
      </top>
      <bottom style="thin">
        <color rgb="FF86C4B2"/>
      </bottom>
      <diagonal/>
    </border>
    <border>
      <left/>
      <right/>
      <top style="thin">
        <color rgb="FF86C4B2"/>
      </top>
      <bottom/>
      <diagonal/>
    </border>
    <border>
      <left/>
      <right style="thin">
        <color theme="0"/>
      </right>
      <top style="thin">
        <color rgb="FF86C4B2"/>
      </top>
      <bottom/>
      <diagonal/>
    </border>
    <border>
      <left style="thin">
        <color theme="0"/>
      </left>
      <right/>
      <top style="thin">
        <color rgb="FF86C4B2"/>
      </top>
      <bottom/>
      <diagonal/>
    </border>
    <border>
      <left/>
      <right/>
      <top style="thin">
        <color rgb="FFA690D1"/>
      </top>
      <bottom style="thin">
        <color theme="0"/>
      </bottom>
      <diagonal/>
    </border>
    <border>
      <left/>
      <right style="thin">
        <color theme="0"/>
      </right>
      <top style="thin">
        <color rgb="FFA690D1"/>
      </top>
      <bottom style="thin">
        <color theme="0"/>
      </bottom>
      <diagonal/>
    </border>
    <border>
      <left style="thin">
        <color theme="0"/>
      </left>
      <right style="thin">
        <color theme="0"/>
      </right>
      <top style="thin">
        <color rgb="FFA690D1"/>
      </top>
      <bottom style="thin">
        <color theme="0"/>
      </bottom>
      <diagonal/>
    </border>
    <border>
      <left style="thin">
        <color theme="0"/>
      </left>
      <right/>
      <top style="thin">
        <color rgb="FFA690D1"/>
      </top>
      <bottom style="thin">
        <color theme="0"/>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411">
    <xf numFmtId="0" fontId="0" fillId="0" borderId="0" xfId="0"/>
    <xf numFmtId="0" fontId="3" fillId="0" borderId="0" xfId="0" applyFont="1"/>
    <xf numFmtId="0" fontId="3" fillId="0" borderId="0" xfId="0" applyFont="1" applyAlignment="1">
      <alignmen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0" fontId="5" fillId="0" borderId="0" xfId="0" applyFont="1" applyAlignment="1">
      <alignment vertical="center"/>
    </xf>
    <xf numFmtId="164" fontId="3" fillId="0" borderId="0" xfId="0" applyNumberFormat="1" applyFont="1" applyAlignment="1">
      <alignment vertical="center"/>
    </xf>
    <xf numFmtId="0" fontId="2" fillId="0" borderId="0" xfId="0" applyFont="1" applyAlignment="1">
      <alignment horizontal="center" vertical="center"/>
    </xf>
    <xf numFmtId="0" fontId="3" fillId="0" borderId="0" xfId="0" applyFont="1" applyAlignment="1">
      <alignment vertical="center" wrapText="1"/>
    </xf>
    <xf numFmtId="0" fontId="3" fillId="0" borderId="3" xfId="0" applyFont="1" applyBorder="1" applyAlignment="1">
      <alignment vertical="center"/>
    </xf>
    <xf numFmtId="3" fontId="3" fillId="5" borderId="1" xfId="0" applyNumberFormat="1" applyFont="1" applyFill="1" applyBorder="1" applyAlignment="1">
      <alignment horizontal="center" vertical="center"/>
    </xf>
    <xf numFmtId="0" fontId="3" fillId="0" borderId="4" xfId="0" applyFont="1" applyBorder="1" applyAlignment="1">
      <alignment horizontal="center" vertical="center"/>
    </xf>
    <xf numFmtId="9" fontId="3" fillId="5" borderId="1" xfId="0" applyNumberFormat="1"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167" fontId="3" fillId="5" borderId="1" xfId="0" applyNumberFormat="1" applyFont="1" applyFill="1" applyBorder="1" applyAlignment="1">
      <alignment horizontal="center" vertical="center"/>
    </xf>
    <xf numFmtId="0" fontId="4" fillId="0" borderId="0" xfId="0" applyFont="1" applyAlignment="1">
      <alignment vertical="center"/>
    </xf>
    <xf numFmtId="166" fontId="3" fillId="0" borderId="0" xfId="0" applyNumberFormat="1" applyFont="1"/>
    <xf numFmtId="2" fontId="3" fillId="5" borderId="1" xfId="0" applyNumberFormat="1" applyFont="1" applyFill="1" applyBorder="1" applyAlignment="1">
      <alignment horizontal="center" vertical="center"/>
    </xf>
    <xf numFmtId="2" fontId="3" fillId="0" borderId="4" xfId="0" applyNumberFormat="1" applyFont="1" applyBorder="1" applyAlignment="1">
      <alignment horizontal="center" vertical="center"/>
    </xf>
    <xf numFmtId="0" fontId="10" fillId="0" borderId="0" xfId="0" applyFont="1"/>
    <xf numFmtId="3" fontId="3" fillId="0" borderId="0" xfId="0" applyNumberFormat="1" applyFont="1" applyAlignment="1">
      <alignment vertical="center"/>
    </xf>
    <xf numFmtId="37" fontId="3" fillId="0" borderId="0" xfId="0" applyNumberFormat="1" applyFont="1" applyAlignment="1">
      <alignment vertical="center"/>
    </xf>
    <xf numFmtId="0" fontId="4" fillId="2" borderId="10" xfId="0" applyFont="1" applyFill="1" applyBorder="1" applyAlignment="1">
      <alignment horizontal="center" vertical="center"/>
    </xf>
    <xf numFmtId="0" fontId="7" fillId="2" borderId="7" xfId="0" applyFont="1" applyFill="1" applyBorder="1" applyAlignment="1">
      <alignment horizontal="center" vertical="center"/>
    </xf>
    <xf numFmtId="0" fontId="4" fillId="2" borderId="7" xfId="0" applyFont="1" applyFill="1" applyBorder="1" applyAlignment="1">
      <alignment horizontal="center" vertical="center"/>
    </xf>
    <xf numFmtId="0" fontId="3" fillId="0" borderId="0" xfId="0" applyFont="1" applyAlignment="1">
      <alignment horizontal="left" vertical="center"/>
    </xf>
    <xf numFmtId="9" fontId="3" fillId="0" borderId="0" xfId="0" applyNumberFormat="1" applyFont="1" applyAlignment="1">
      <alignment horizontal="center" vertical="center"/>
    </xf>
    <xf numFmtId="0" fontId="20" fillId="0" borderId="0" xfId="0" applyFont="1" applyAlignment="1">
      <alignment vertical="center" wrapText="1"/>
    </xf>
    <xf numFmtId="0" fontId="20" fillId="4" borderId="0" xfId="0" applyFont="1" applyFill="1" applyAlignment="1">
      <alignment horizontal="left" vertical="center"/>
    </xf>
    <xf numFmtId="9" fontId="3" fillId="0" borderId="4" xfId="0" applyNumberFormat="1" applyFont="1" applyBorder="1" applyAlignment="1">
      <alignment horizontal="center" vertical="center"/>
    </xf>
    <xf numFmtId="9" fontId="3" fillId="0" borderId="9" xfId="0" applyNumberFormat="1" applyFont="1" applyBorder="1" applyAlignment="1">
      <alignment horizontal="center" vertical="center"/>
    </xf>
    <xf numFmtId="9" fontId="3" fillId="0" borderId="6" xfId="0" applyNumberFormat="1" applyFont="1" applyBorder="1" applyAlignment="1">
      <alignment horizontal="center" vertical="center"/>
    </xf>
    <xf numFmtId="0" fontId="21" fillId="0" borderId="0" xfId="3" applyFont="1" applyAlignment="1">
      <alignment horizontal="left" vertical="top"/>
    </xf>
    <xf numFmtId="0" fontId="21" fillId="0" borderId="4" xfId="3" applyFont="1" applyBorder="1" applyAlignment="1">
      <alignment horizontal="left" vertical="top"/>
    </xf>
    <xf numFmtId="3" fontId="3" fillId="0" borderId="0" xfId="0" applyNumberFormat="1" applyFont="1" applyAlignment="1">
      <alignment horizontal="center" vertical="center"/>
    </xf>
    <xf numFmtId="3" fontId="3" fillId="0" borderId="4" xfId="0" applyNumberFormat="1" applyFont="1" applyBorder="1" applyAlignment="1">
      <alignment horizontal="center" vertical="center"/>
    </xf>
    <xf numFmtId="0" fontId="22" fillId="0" borderId="0" xfId="0" applyFont="1"/>
    <xf numFmtId="0" fontId="23" fillId="0" borderId="0" xfId="0" applyFont="1" applyAlignment="1">
      <alignment horizontal="left"/>
    </xf>
    <xf numFmtId="0" fontId="6" fillId="8" borderId="14" xfId="0" applyFont="1" applyFill="1" applyBorder="1" applyAlignment="1">
      <alignment horizontal="center" vertical="center"/>
    </xf>
    <xf numFmtId="0" fontId="6" fillId="8" borderId="15" xfId="0" applyFont="1" applyFill="1" applyBorder="1" applyAlignment="1">
      <alignment horizontal="center" vertical="center"/>
    </xf>
    <xf numFmtId="166" fontId="3" fillId="2" borderId="12" xfId="1" applyNumberFormat="1" applyFont="1" applyFill="1" applyBorder="1" applyAlignment="1">
      <alignment horizontal="center" vertical="center"/>
    </xf>
    <xf numFmtId="166" fontId="3" fillId="2" borderId="17" xfId="1" applyNumberFormat="1" applyFont="1" applyFill="1" applyBorder="1" applyAlignment="1">
      <alignment horizontal="center" vertical="center"/>
    </xf>
    <xf numFmtId="166" fontId="3" fillId="3" borderId="26" xfId="1" applyNumberFormat="1" applyFont="1" applyFill="1" applyBorder="1" applyAlignment="1">
      <alignment horizontal="center" vertical="center"/>
    </xf>
    <xf numFmtId="166" fontId="3" fillId="3" borderId="27" xfId="1" applyNumberFormat="1" applyFont="1" applyFill="1" applyBorder="1" applyAlignment="1">
      <alignment horizontal="center" vertical="center"/>
    </xf>
    <xf numFmtId="3" fontId="3" fillId="2" borderId="12" xfId="1" applyNumberFormat="1" applyFont="1" applyFill="1" applyBorder="1" applyAlignment="1">
      <alignment horizontal="center" vertical="center"/>
    </xf>
    <xf numFmtId="3" fontId="3" fillId="2" borderId="17" xfId="1" applyNumberFormat="1" applyFont="1" applyFill="1" applyBorder="1" applyAlignment="1">
      <alignment horizontal="center" vertical="center"/>
    </xf>
    <xf numFmtId="9" fontId="3" fillId="2" borderId="23" xfId="2" applyFont="1" applyFill="1" applyBorder="1" applyAlignment="1">
      <alignment horizontal="center" vertical="center"/>
    </xf>
    <xf numFmtId="9" fontId="3" fillId="2" borderId="24" xfId="2" applyFont="1" applyFill="1" applyBorder="1" applyAlignment="1">
      <alignment horizontal="center" vertical="center"/>
    </xf>
    <xf numFmtId="0" fontId="2" fillId="0" borderId="0" xfId="0" applyFont="1"/>
    <xf numFmtId="37" fontId="3" fillId="7" borderId="26" xfId="1" applyNumberFormat="1" applyFont="1" applyFill="1" applyBorder="1" applyAlignment="1">
      <alignment horizontal="center" vertical="center"/>
    </xf>
    <xf numFmtId="37" fontId="3" fillId="7" borderId="27" xfId="1" applyNumberFormat="1" applyFont="1" applyFill="1" applyBorder="1" applyAlignment="1">
      <alignment horizontal="center" vertical="center"/>
    </xf>
    <xf numFmtId="3" fontId="3" fillId="7" borderId="26" xfId="2" applyNumberFormat="1" applyFont="1" applyFill="1" applyBorder="1" applyAlignment="1">
      <alignment horizontal="center" vertical="center"/>
    </xf>
    <xf numFmtId="3" fontId="3" fillId="7" borderId="27" xfId="2" applyNumberFormat="1" applyFont="1" applyFill="1" applyBorder="1" applyAlignment="1">
      <alignment horizontal="center" vertical="center"/>
    </xf>
    <xf numFmtId="3" fontId="3" fillId="7" borderId="14" xfId="2" applyNumberFormat="1" applyFont="1" applyFill="1" applyBorder="1" applyAlignment="1">
      <alignment horizontal="center" vertical="center"/>
    </xf>
    <xf numFmtId="3" fontId="3" fillId="7" borderId="15" xfId="2" applyNumberFormat="1" applyFont="1" applyFill="1" applyBorder="1" applyAlignment="1">
      <alignment horizontal="center" vertical="center"/>
    </xf>
    <xf numFmtId="37" fontId="3" fillId="7" borderId="19" xfId="1" applyNumberFormat="1" applyFont="1" applyFill="1" applyBorder="1" applyAlignment="1">
      <alignment horizontal="center" vertical="center"/>
    </xf>
    <xf numFmtId="37" fontId="3" fillId="7" borderId="20" xfId="1" applyNumberFormat="1" applyFont="1" applyFill="1" applyBorder="1" applyAlignment="1">
      <alignment horizontal="center" vertical="center"/>
    </xf>
    <xf numFmtId="37" fontId="3" fillId="2" borderId="23" xfId="1" applyNumberFormat="1" applyFont="1" applyFill="1" applyBorder="1" applyAlignment="1">
      <alignment horizontal="center" vertical="center"/>
    </xf>
    <xf numFmtId="37" fontId="3" fillId="2" borderId="24" xfId="1" applyNumberFormat="1" applyFont="1" applyFill="1" applyBorder="1" applyAlignment="1">
      <alignment horizontal="center" vertical="center"/>
    </xf>
    <xf numFmtId="164" fontId="3" fillId="2" borderId="17" xfId="1" applyNumberFormat="1" applyFont="1" applyFill="1" applyBorder="1" applyAlignment="1">
      <alignment vertical="center"/>
    </xf>
    <xf numFmtId="9" fontId="3" fillId="2" borderId="17" xfId="2" applyFont="1" applyFill="1" applyBorder="1" applyAlignment="1">
      <alignment horizontal="right" vertical="center"/>
    </xf>
    <xf numFmtId="164" fontId="3" fillId="2" borderId="17" xfId="0" applyNumberFormat="1" applyFont="1" applyFill="1" applyBorder="1" applyAlignment="1">
      <alignment vertical="center"/>
    </xf>
    <xf numFmtId="165" fontId="3" fillId="2" borderId="17" xfId="1" applyNumberFormat="1" applyFont="1" applyFill="1" applyBorder="1" applyAlignment="1">
      <alignment vertical="center"/>
    </xf>
    <xf numFmtId="164" fontId="3" fillId="3" borderId="27" xfId="0" applyNumberFormat="1" applyFont="1" applyFill="1" applyBorder="1" applyAlignment="1">
      <alignment vertical="center"/>
    </xf>
    <xf numFmtId="164" fontId="3" fillId="2" borderId="24" xfId="1" applyNumberFormat="1" applyFont="1" applyFill="1" applyBorder="1" applyAlignment="1">
      <alignment vertical="center"/>
    </xf>
    <xf numFmtId="164" fontId="3" fillId="7" borderId="27" xfId="1" applyNumberFormat="1" applyFont="1" applyFill="1" applyBorder="1" applyAlignment="1">
      <alignment vertical="center"/>
    </xf>
    <xf numFmtId="9" fontId="3" fillId="2" borderId="24" xfId="2" applyFont="1" applyFill="1" applyBorder="1" applyAlignment="1">
      <alignment vertical="center"/>
    </xf>
    <xf numFmtId="1" fontId="3" fillId="2" borderId="24" xfId="0" applyNumberFormat="1" applyFont="1" applyFill="1" applyBorder="1" applyAlignment="1">
      <alignment vertical="center"/>
    </xf>
    <xf numFmtId="166" fontId="3" fillId="3" borderId="27" xfId="1" applyNumberFormat="1" applyFont="1" applyFill="1" applyBorder="1" applyAlignment="1">
      <alignment vertical="center"/>
    </xf>
    <xf numFmtId="0" fontId="4" fillId="2" borderId="13" xfId="0" applyFont="1" applyFill="1" applyBorder="1" applyAlignment="1">
      <alignment horizontal="center" vertical="center"/>
    </xf>
    <xf numFmtId="37" fontId="4" fillId="3" borderId="15" xfId="0" applyNumberFormat="1" applyFont="1" applyFill="1" applyBorder="1" applyAlignment="1">
      <alignment horizontal="center" vertical="center"/>
    </xf>
    <xf numFmtId="0" fontId="4" fillId="7" borderId="18" xfId="0" applyFont="1" applyFill="1" applyBorder="1" applyAlignment="1">
      <alignment horizontal="center" vertical="center"/>
    </xf>
    <xf numFmtId="166" fontId="4" fillId="3" borderId="20" xfId="0" applyNumberFormat="1" applyFont="1" applyFill="1" applyBorder="1" applyAlignment="1">
      <alignment horizontal="center" vertical="center"/>
    </xf>
    <xf numFmtId="166" fontId="7" fillId="3" borderId="17" xfId="1" applyNumberFormat="1" applyFont="1" applyFill="1" applyBorder="1" applyAlignment="1">
      <alignment horizontal="center" vertical="center"/>
    </xf>
    <xf numFmtId="0" fontId="3" fillId="2" borderId="16" xfId="0" applyFont="1" applyFill="1" applyBorder="1" applyAlignment="1">
      <alignment vertical="center"/>
    </xf>
    <xf numFmtId="0" fontId="3" fillId="2" borderId="18" xfId="0" applyFont="1" applyFill="1" applyBorder="1" applyAlignment="1">
      <alignment vertical="center"/>
    </xf>
    <xf numFmtId="0" fontId="11" fillId="7" borderId="0" xfId="0" applyFont="1" applyFill="1" applyAlignment="1">
      <alignment horizontal="left" vertical="center" indent="3"/>
    </xf>
    <xf numFmtId="0" fontId="5" fillId="0" borderId="0" xfId="0" applyFont="1" applyAlignment="1">
      <alignment horizontal="left" vertical="center"/>
    </xf>
    <xf numFmtId="0" fontId="3" fillId="7" borderId="0" xfId="0" applyFont="1" applyFill="1" applyAlignment="1">
      <alignment horizontal="left" vertical="center"/>
    </xf>
    <xf numFmtId="0" fontId="6" fillId="8" borderId="13" xfId="0" applyFont="1" applyFill="1" applyBorder="1" applyAlignment="1">
      <alignment horizontal="left" vertical="center" indent="1"/>
    </xf>
    <xf numFmtId="0" fontId="15" fillId="0" borderId="5" xfId="0" applyFont="1" applyBorder="1" applyAlignment="1">
      <alignment horizontal="left" vertical="top" indent="3"/>
    </xf>
    <xf numFmtId="0" fontId="15" fillId="0" borderId="3" xfId="0" applyFont="1" applyBorder="1" applyAlignment="1">
      <alignment horizontal="left" vertical="top" indent="3"/>
    </xf>
    <xf numFmtId="0" fontId="4" fillId="0" borderId="7" xfId="0" applyFont="1" applyBorder="1" applyAlignment="1">
      <alignment horizontal="left" vertical="center" indent="1"/>
    </xf>
    <xf numFmtId="0" fontId="4" fillId="0" borderId="3" xfId="0" applyFont="1" applyBorder="1" applyAlignment="1">
      <alignment horizontal="left" vertical="center" indent="1"/>
    </xf>
    <xf numFmtId="0" fontId="4" fillId="0" borderId="3" xfId="0" applyFont="1" applyBorder="1" applyAlignment="1">
      <alignment horizontal="left" vertical="center" wrapText="1" indent="1"/>
    </xf>
    <xf numFmtId="0" fontId="21" fillId="0" borderId="11" xfId="3" applyFont="1" applyBorder="1" applyAlignment="1">
      <alignment horizontal="left" vertical="top"/>
    </xf>
    <xf numFmtId="0" fontId="0" fillId="0" borderId="0" xfId="0" applyAlignment="1">
      <alignment horizontal="center"/>
    </xf>
    <xf numFmtId="0" fontId="0" fillId="0" borderId="0" xfId="0" applyAlignment="1">
      <alignment vertical="center" wrapText="1"/>
    </xf>
    <xf numFmtId="0" fontId="0" fillId="7" borderId="0" xfId="0" applyFill="1"/>
    <xf numFmtId="0" fontId="0" fillId="0" borderId="0" xfId="0" applyAlignment="1">
      <alignment vertical="center"/>
    </xf>
    <xf numFmtId="0" fontId="26" fillId="0" borderId="3" xfId="0" applyFont="1" applyBorder="1" applyAlignment="1">
      <alignment horizontal="left" vertical="top" indent="1"/>
    </xf>
    <xf numFmtId="37" fontId="3" fillId="2" borderId="17" xfId="1" applyNumberFormat="1" applyFont="1" applyFill="1" applyBorder="1" applyAlignment="1">
      <alignment horizontal="center" vertical="center"/>
    </xf>
    <xf numFmtId="9" fontId="13" fillId="2" borderId="20" xfId="2" applyFont="1" applyFill="1" applyBorder="1" applyAlignment="1">
      <alignment horizontal="center" vertical="center"/>
    </xf>
    <xf numFmtId="0" fontId="25" fillId="0" borderId="0" xfId="0" applyFont="1" applyAlignment="1">
      <alignment vertical="center"/>
    </xf>
    <xf numFmtId="166" fontId="13" fillId="4" borderId="0" xfId="1" applyNumberFormat="1" applyFont="1" applyFill="1" applyBorder="1" applyAlignment="1">
      <alignment horizontal="center" vertical="center"/>
    </xf>
    <xf numFmtId="166" fontId="13" fillId="2" borderId="20" xfId="1" applyNumberFormat="1" applyFont="1" applyFill="1" applyBorder="1" applyAlignment="1">
      <alignment horizontal="center" vertical="center"/>
    </xf>
    <xf numFmtId="0" fontId="0" fillId="0" borderId="0" xfId="0" applyAlignment="1">
      <alignment horizontal="center" vertical="center" wrapText="1"/>
    </xf>
    <xf numFmtId="0" fontId="3" fillId="2" borderId="16" xfId="0" applyFont="1" applyFill="1" applyBorder="1" applyAlignment="1">
      <alignment horizontal="left" vertical="center" indent="2"/>
    </xf>
    <xf numFmtId="0" fontId="3" fillId="2" borderId="22" xfId="0" applyFont="1" applyFill="1" applyBorder="1" applyAlignment="1">
      <alignment horizontal="left" vertical="center" indent="2"/>
    </xf>
    <xf numFmtId="0" fontId="3" fillId="7" borderId="25" xfId="0" applyFont="1" applyFill="1" applyBorder="1" applyAlignment="1">
      <alignment horizontal="left" vertical="center" indent="2"/>
    </xf>
    <xf numFmtId="0" fontId="3" fillId="7" borderId="13" xfId="0" applyFont="1" applyFill="1" applyBorder="1" applyAlignment="1">
      <alignment horizontal="left" vertical="center" indent="2"/>
    </xf>
    <xf numFmtId="0" fontId="3" fillId="7" borderId="18" xfId="0" applyFont="1" applyFill="1" applyBorder="1" applyAlignment="1">
      <alignment horizontal="left" vertical="center" indent="2"/>
    </xf>
    <xf numFmtId="0" fontId="3" fillId="2" borderId="25" xfId="0" applyFont="1" applyFill="1" applyBorder="1" applyAlignment="1">
      <alignment horizontal="left" vertical="center" indent="2"/>
    </xf>
    <xf numFmtId="0" fontId="27" fillId="0" borderId="0" xfId="0" applyFont="1" applyAlignment="1">
      <alignment horizontal="left"/>
    </xf>
    <xf numFmtId="0" fontId="15" fillId="0" borderId="3" xfId="0" applyFont="1" applyBorder="1" applyAlignment="1">
      <alignment horizontal="left" vertical="top"/>
    </xf>
    <xf numFmtId="0" fontId="4" fillId="0" borderId="5" xfId="0" applyFont="1" applyBorder="1" applyAlignment="1">
      <alignment horizontal="left" vertical="center" indent="1"/>
    </xf>
    <xf numFmtId="3" fontId="13" fillId="2" borderId="17" xfId="1" applyNumberFormat="1" applyFont="1" applyFill="1" applyBorder="1" applyAlignment="1">
      <alignment horizontal="center" vertical="center"/>
    </xf>
    <xf numFmtId="0" fontId="0" fillId="12" borderId="0" xfId="0" applyFill="1"/>
    <xf numFmtId="0" fontId="22" fillId="12" borderId="0" xfId="0" applyFont="1" applyFill="1"/>
    <xf numFmtId="0" fontId="3" fillId="12" borderId="0" xfId="0" applyFont="1" applyFill="1"/>
    <xf numFmtId="0" fontId="0" fillId="12" borderId="0" xfId="0" applyFill="1" applyAlignment="1">
      <alignment vertical="center" wrapText="1"/>
    </xf>
    <xf numFmtId="0" fontId="3" fillId="12" borderId="0" xfId="0" applyFont="1" applyFill="1" applyAlignment="1">
      <alignment vertical="center" wrapText="1"/>
    </xf>
    <xf numFmtId="0" fontId="3" fillId="12" borderId="0" xfId="0" applyFont="1" applyFill="1" applyAlignment="1">
      <alignment vertical="center"/>
    </xf>
    <xf numFmtId="0" fontId="10" fillId="12" borderId="0" xfId="0" applyFont="1" applyFill="1"/>
    <xf numFmtId="0" fontId="29" fillId="13" borderId="0" xfId="0" applyFont="1" applyFill="1"/>
    <xf numFmtId="0" fontId="29" fillId="13" borderId="0" xfId="0" applyFont="1" applyFill="1" applyAlignment="1">
      <alignment horizontal="center"/>
    </xf>
    <xf numFmtId="0" fontId="30" fillId="13" borderId="0" xfId="0" applyFont="1" applyFill="1" applyAlignment="1">
      <alignment horizontal="left" vertical="center"/>
    </xf>
    <xf numFmtId="0" fontId="30" fillId="13" borderId="0" xfId="0" applyFont="1" applyFill="1" applyAlignment="1">
      <alignment vertical="center"/>
    </xf>
    <xf numFmtId="0" fontId="30" fillId="13" borderId="0" xfId="0" applyFont="1" applyFill="1"/>
    <xf numFmtId="0" fontId="31" fillId="13" borderId="0" xfId="0" applyFont="1" applyFill="1" applyAlignment="1">
      <alignment horizontal="center" vertical="center"/>
    </xf>
    <xf numFmtId="0" fontId="32" fillId="13" borderId="0" xfId="0" applyFont="1" applyFill="1"/>
    <xf numFmtId="0" fontId="33" fillId="13" borderId="0" xfId="0" applyFont="1" applyFill="1"/>
    <xf numFmtId="166" fontId="30" fillId="13" borderId="0" xfId="0" applyNumberFormat="1" applyFont="1" applyFill="1"/>
    <xf numFmtId="0" fontId="29" fillId="14" borderId="0" xfId="0" applyFont="1" applyFill="1"/>
    <xf numFmtId="0" fontId="34" fillId="14" borderId="0" xfId="0" applyFont="1" applyFill="1" applyAlignment="1">
      <alignment vertical="center" wrapText="1"/>
    </xf>
    <xf numFmtId="0" fontId="30" fillId="14" borderId="0" xfId="0" applyFont="1" applyFill="1"/>
    <xf numFmtId="0" fontId="30" fillId="15" borderId="0" xfId="0" applyFont="1" applyFill="1"/>
    <xf numFmtId="0" fontId="35" fillId="15" borderId="0" xfId="0" applyFont="1" applyFill="1" applyAlignment="1">
      <alignment vertical="center" wrapText="1"/>
    </xf>
    <xf numFmtId="0" fontId="30" fillId="16" borderId="0" xfId="0" applyFont="1" applyFill="1"/>
    <xf numFmtId="0" fontId="29" fillId="16" borderId="0" xfId="0" applyFont="1" applyFill="1"/>
    <xf numFmtId="0" fontId="30" fillId="16" borderId="0" xfId="0" applyFont="1" applyFill="1" applyAlignment="1">
      <alignment horizontal="left" vertical="center"/>
    </xf>
    <xf numFmtId="0" fontId="36" fillId="13" borderId="0" xfId="0" applyFont="1" applyFill="1" applyAlignment="1">
      <alignment horizontal="center" vertical="center" wrapText="1"/>
    </xf>
    <xf numFmtId="0" fontId="29" fillId="15" borderId="0" xfId="0" applyFont="1" applyFill="1"/>
    <xf numFmtId="0" fontId="35" fillId="13" borderId="0" xfId="0" applyFont="1" applyFill="1" applyAlignment="1">
      <alignment vertical="center" wrapText="1"/>
    </xf>
    <xf numFmtId="0" fontId="37" fillId="13" borderId="0" xfId="0" applyFont="1" applyFill="1" applyAlignment="1">
      <alignment horizontal="left" vertical="center"/>
    </xf>
    <xf numFmtId="0" fontId="34" fillId="13" borderId="0" xfId="0" applyFont="1" applyFill="1" applyAlignment="1">
      <alignment horizontal="center" vertical="center" wrapText="1"/>
    </xf>
    <xf numFmtId="0" fontId="35" fillId="13" borderId="0" xfId="0" applyFont="1" applyFill="1" applyAlignment="1">
      <alignment horizontal="center" vertical="center" wrapText="1"/>
    </xf>
    <xf numFmtId="0" fontId="40" fillId="13" borderId="0" xfId="0" applyFont="1" applyFill="1"/>
    <xf numFmtId="0" fontId="41" fillId="13" borderId="0" xfId="0" applyFont="1" applyFill="1" applyAlignment="1">
      <alignment horizontal="center" vertical="center"/>
    </xf>
    <xf numFmtId="0" fontId="41" fillId="13" borderId="0" xfId="0" applyFont="1" applyFill="1" applyAlignment="1">
      <alignment horizontal="center" vertical="center" wrapText="1"/>
    </xf>
    <xf numFmtId="0" fontId="42" fillId="13" borderId="0" xfId="0" applyFont="1" applyFill="1" applyAlignment="1">
      <alignment horizontal="center" vertical="center"/>
    </xf>
    <xf numFmtId="0" fontId="43" fillId="13" borderId="0" xfId="0" applyFont="1" applyFill="1" applyAlignment="1">
      <alignment horizontal="center" vertical="center"/>
    </xf>
    <xf numFmtId="0" fontId="45" fillId="13" borderId="0" xfId="0" applyFont="1" applyFill="1" applyAlignment="1">
      <alignment horizontal="center" vertical="center"/>
    </xf>
    <xf numFmtId="0" fontId="43" fillId="15" borderId="0" xfId="0" applyFont="1" applyFill="1" applyAlignment="1">
      <alignment horizontal="center" vertical="center"/>
    </xf>
    <xf numFmtId="0" fontId="30" fillId="13" borderId="0" xfId="0" applyFont="1" applyFill="1" applyAlignment="1">
      <alignment vertical="center" wrapText="1"/>
    </xf>
    <xf numFmtId="0" fontId="29" fillId="14" borderId="0" xfId="0" applyFont="1" applyFill="1" applyAlignment="1">
      <alignment vertical="center" wrapText="1"/>
    </xf>
    <xf numFmtId="0" fontId="46" fillId="13" borderId="0" xfId="0" applyFont="1" applyFill="1" applyAlignment="1">
      <alignment horizontal="center" vertical="center" wrapText="1"/>
    </xf>
    <xf numFmtId="0" fontId="46" fillId="13" borderId="0" xfId="0" applyFont="1" applyFill="1" applyAlignment="1">
      <alignment vertical="center"/>
    </xf>
    <xf numFmtId="3" fontId="47" fillId="13" borderId="0" xfId="0" applyNumberFormat="1" applyFont="1" applyFill="1" applyAlignment="1">
      <alignment horizontal="center" vertical="center"/>
    </xf>
    <xf numFmtId="0" fontId="29" fillId="13" borderId="0" xfId="0" applyFont="1" applyFill="1" applyAlignment="1">
      <alignment vertical="center" wrapText="1"/>
    </xf>
    <xf numFmtId="0" fontId="29" fillId="15" borderId="0" xfId="0" applyFont="1" applyFill="1" applyAlignment="1">
      <alignment vertical="center" wrapText="1"/>
    </xf>
    <xf numFmtId="0" fontId="48" fillId="13" borderId="0" xfId="0" applyFont="1" applyFill="1" applyAlignment="1">
      <alignment vertical="center" wrapText="1"/>
    </xf>
    <xf numFmtId="3" fontId="30" fillId="13" borderId="0" xfId="0" applyNumberFormat="1" applyFont="1" applyFill="1" applyAlignment="1">
      <alignment horizontal="center" vertical="center"/>
    </xf>
    <xf numFmtId="0" fontId="29" fillId="16" borderId="0" xfId="0" applyFont="1" applyFill="1" applyAlignment="1">
      <alignment vertical="center" wrapText="1"/>
    </xf>
    <xf numFmtId="0" fontId="47" fillId="13" borderId="0" xfId="0" applyFont="1" applyFill="1" applyAlignment="1">
      <alignment vertical="center"/>
    </xf>
    <xf numFmtId="0" fontId="50" fillId="13" borderId="0" xfId="0" applyFont="1" applyFill="1" applyAlignment="1">
      <alignment horizontal="center" vertical="center" wrapText="1"/>
    </xf>
    <xf numFmtId="0" fontId="47" fillId="13" borderId="0" xfId="0" applyFont="1" applyFill="1" applyAlignment="1">
      <alignment horizontal="center" vertical="center"/>
    </xf>
    <xf numFmtId="0" fontId="30" fillId="13" borderId="0" xfId="0" applyFont="1" applyFill="1" applyAlignment="1">
      <alignment horizontal="center" vertical="center"/>
    </xf>
    <xf numFmtId="0" fontId="30" fillId="14" borderId="0" xfId="0" applyFont="1" applyFill="1" applyAlignment="1">
      <alignment vertical="center" wrapText="1"/>
    </xf>
    <xf numFmtId="0" fontId="30" fillId="15" borderId="0" xfId="0" applyFont="1" applyFill="1" applyAlignment="1">
      <alignment vertical="center" wrapText="1"/>
    </xf>
    <xf numFmtId="9" fontId="30" fillId="13" borderId="0" xfId="0" applyNumberFormat="1" applyFont="1" applyFill="1" applyAlignment="1">
      <alignment horizontal="center" vertical="center"/>
    </xf>
    <xf numFmtId="0" fontId="30" fillId="16" borderId="0" xfId="0" applyFont="1" applyFill="1" applyAlignment="1">
      <alignment vertical="center" wrapText="1"/>
    </xf>
    <xf numFmtId="0" fontId="31" fillId="16" borderId="0" xfId="0" applyFont="1" applyFill="1" applyAlignment="1">
      <alignment horizontal="center" vertical="center"/>
    </xf>
    <xf numFmtId="0" fontId="43" fillId="13" borderId="0" xfId="0" applyFont="1" applyFill="1"/>
    <xf numFmtId="0" fontId="30" fillId="14" borderId="0" xfId="0" applyFont="1" applyFill="1" applyAlignment="1">
      <alignment vertical="center"/>
    </xf>
    <xf numFmtId="0" fontId="46" fillId="13" borderId="0" xfId="0" applyFont="1" applyFill="1" applyAlignment="1">
      <alignment horizontal="center" vertical="center"/>
    </xf>
    <xf numFmtId="0" fontId="30" fillId="15" borderId="0" xfId="0" applyFont="1" applyFill="1" applyAlignment="1">
      <alignment vertical="center"/>
    </xf>
    <xf numFmtId="0" fontId="50" fillId="13" borderId="0" xfId="0" applyFont="1" applyFill="1" applyAlignment="1">
      <alignment horizontal="center" vertical="center"/>
    </xf>
    <xf numFmtId="0" fontId="53" fillId="13" borderId="0" xfId="3" applyFont="1" applyFill="1" applyBorder="1" applyAlignment="1">
      <alignment horizontal="left" vertical="top"/>
    </xf>
    <xf numFmtId="0" fontId="54" fillId="13" borderId="0" xfId="3" applyFont="1" applyFill="1" applyBorder="1" applyAlignment="1">
      <alignment horizontal="left" vertical="top"/>
    </xf>
    <xf numFmtId="0" fontId="29" fillId="15" borderId="0" xfId="0" applyFont="1" applyFill="1" applyAlignment="1">
      <alignment vertical="center"/>
    </xf>
    <xf numFmtId="0" fontId="30" fillId="16" borderId="0" xfId="0" applyFont="1" applyFill="1" applyAlignment="1">
      <alignment vertical="center"/>
    </xf>
    <xf numFmtId="0" fontId="29" fillId="13" borderId="0" xfId="0" applyFont="1" applyFill="1" applyAlignment="1">
      <alignment vertical="center"/>
    </xf>
    <xf numFmtId="0" fontId="46" fillId="13" borderId="0" xfId="0" applyFont="1" applyFill="1" applyAlignment="1">
      <alignment vertical="center" wrapText="1"/>
    </xf>
    <xf numFmtId="9" fontId="47" fillId="13" borderId="0" xfId="0" applyNumberFormat="1" applyFont="1" applyFill="1" applyAlignment="1">
      <alignment horizontal="center" vertical="center"/>
    </xf>
    <xf numFmtId="0" fontId="48" fillId="13" borderId="0" xfId="0" applyFont="1" applyFill="1" applyAlignment="1">
      <alignment vertical="center"/>
    </xf>
    <xf numFmtId="167" fontId="30" fillId="13" borderId="0" xfId="0" applyNumberFormat="1" applyFont="1" applyFill="1" applyAlignment="1">
      <alignment horizontal="center" vertical="center"/>
    </xf>
    <xf numFmtId="166" fontId="55" fillId="13" borderId="41" xfId="1" applyNumberFormat="1" applyFont="1" applyFill="1" applyBorder="1" applyAlignment="1">
      <alignment horizontal="center" vertical="center"/>
    </xf>
    <xf numFmtId="166" fontId="56" fillId="16" borderId="0" xfId="1" applyNumberFormat="1" applyFont="1" applyFill="1" applyBorder="1" applyAlignment="1">
      <alignment horizontal="center" vertical="center"/>
    </xf>
    <xf numFmtId="0" fontId="39" fillId="13" borderId="40" xfId="0" applyFont="1" applyFill="1" applyBorder="1" applyAlignment="1">
      <alignment vertical="center"/>
    </xf>
    <xf numFmtId="166" fontId="45" fillId="13" borderId="0" xfId="1" applyNumberFormat="1" applyFont="1" applyFill="1" applyBorder="1" applyAlignment="1">
      <alignment horizontal="center" vertical="center"/>
    </xf>
    <xf numFmtId="0" fontId="53" fillId="13" borderId="0" xfId="3" applyFont="1" applyFill="1" applyBorder="1" applyAlignment="1">
      <alignment horizontal="right" vertical="top"/>
    </xf>
    <xf numFmtId="0" fontId="47" fillId="13" borderId="0" xfId="0" applyFont="1" applyFill="1" applyAlignment="1">
      <alignment horizontal="left" vertical="center"/>
    </xf>
    <xf numFmtId="37" fontId="47" fillId="13" borderId="15" xfId="1" applyNumberFormat="1" applyFont="1" applyFill="1" applyBorder="1" applyAlignment="1">
      <alignment horizontal="center" vertical="center"/>
    </xf>
    <xf numFmtId="37" fontId="30" fillId="16" borderId="0" xfId="1" applyNumberFormat="1" applyFont="1" applyFill="1" applyBorder="1" applyAlignment="1">
      <alignment horizontal="center" vertical="center"/>
    </xf>
    <xf numFmtId="0" fontId="47" fillId="13" borderId="13" xfId="0" applyFont="1" applyFill="1" applyBorder="1" applyAlignment="1">
      <alignment vertical="center"/>
    </xf>
    <xf numFmtId="3" fontId="47" fillId="13" borderId="15" xfId="1" applyNumberFormat="1" applyFont="1" applyFill="1" applyBorder="1" applyAlignment="1">
      <alignment horizontal="center" vertical="center"/>
    </xf>
    <xf numFmtId="3" fontId="57" fillId="13" borderId="0" xfId="1" applyNumberFormat="1" applyFont="1" applyFill="1" applyBorder="1" applyAlignment="1">
      <alignment horizontal="center" vertical="center"/>
    </xf>
    <xf numFmtId="9" fontId="47" fillId="13" borderId="20" xfId="2" applyFont="1" applyFill="1" applyBorder="1" applyAlignment="1">
      <alignment horizontal="center" vertical="center"/>
    </xf>
    <xf numFmtId="9" fontId="57" fillId="16" borderId="0" xfId="2" applyFont="1" applyFill="1" applyBorder="1" applyAlignment="1">
      <alignment horizontal="center" vertical="center"/>
    </xf>
    <xf numFmtId="0" fontId="47" fillId="13" borderId="16" xfId="0" applyFont="1" applyFill="1" applyBorder="1" applyAlignment="1">
      <alignment vertical="center"/>
    </xf>
    <xf numFmtId="37" fontId="47" fillId="13" borderId="17" xfId="1" applyNumberFormat="1" applyFont="1" applyFill="1" applyBorder="1" applyAlignment="1">
      <alignment horizontal="center" vertical="center"/>
    </xf>
    <xf numFmtId="37" fontId="30" fillId="13" borderId="0" xfId="1" applyNumberFormat="1" applyFont="1" applyFill="1" applyBorder="1" applyAlignment="1">
      <alignment horizontal="center" vertical="center"/>
    </xf>
    <xf numFmtId="0" fontId="37" fillId="13" borderId="0" xfId="0" applyFont="1" applyFill="1" applyAlignment="1">
      <alignment vertical="center"/>
    </xf>
    <xf numFmtId="0" fontId="52" fillId="13" borderId="0" xfId="0" applyFont="1" applyFill="1" applyAlignment="1">
      <alignment horizontal="left" vertical="top" wrapText="1" indent="5"/>
    </xf>
    <xf numFmtId="2" fontId="47" fillId="13" borderId="0" xfId="0" applyNumberFormat="1" applyFont="1" applyFill="1" applyAlignment="1">
      <alignment horizontal="center" vertical="center"/>
    </xf>
    <xf numFmtId="2" fontId="30" fillId="13" borderId="0" xfId="0" applyNumberFormat="1" applyFont="1" applyFill="1" applyAlignment="1">
      <alignment horizontal="center" vertical="center"/>
    </xf>
    <xf numFmtId="0" fontId="28" fillId="13" borderId="0" xfId="0" applyFont="1" applyFill="1" applyAlignment="1">
      <alignment vertical="center"/>
    </xf>
    <xf numFmtId="166" fontId="57" fillId="13" borderId="0" xfId="1" applyNumberFormat="1" applyFont="1" applyFill="1" applyBorder="1" applyAlignment="1">
      <alignment horizontal="center" vertical="center"/>
    </xf>
    <xf numFmtId="166" fontId="57" fillId="16" borderId="0" xfId="1" applyNumberFormat="1" applyFont="1" applyFill="1" applyBorder="1" applyAlignment="1">
      <alignment horizontal="center" vertical="center"/>
    </xf>
    <xf numFmtId="166" fontId="47" fillId="13" borderId="17" xfId="1" applyNumberFormat="1" applyFont="1" applyFill="1" applyBorder="1" applyAlignment="1">
      <alignment horizontal="center" vertical="center"/>
    </xf>
    <xf numFmtId="166" fontId="30" fillId="13" borderId="0" xfId="1" applyNumberFormat="1" applyFont="1" applyFill="1" applyBorder="1" applyAlignment="1">
      <alignment horizontal="center" vertical="center"/>
    </xf>
    <xf numFmtId="0" fontId="47" fillId="13" borderId="18" xfId="0" applyFont="1" applyFill="1" applyBorder="1" applyAlignment="1">
      <alignment vertical="center"/>
    </xf>
    <xf numFmtId="166" fontId="47" fillId="13" borderId="20" xfId="1" applyNumberFormat="1" applyFont="1" applyFill="1" applyBorder="1" applyAlignment="1">
      <alignment horizontal="center" vertical="center"/>
    </xf>
    <xf numFmtId="0" fontId="53" fillId="13" borderId="0" xfId="3" applyFont="1" applyFill="1" applyAlignment="1">
      <alignment horizontal="right" vertical="top" wrapText="1" indent="1"/>
    </xf>
    <xf numFmtId="0" fontId="30" fillId="16" borderId="0" xfId="0" applyFont="1" applyFill="1" applyAlignment="1">
      <alignment horizontal="center" vertical="center"/>
    </xf>
    <xf numFmtId="0" fontId="58" fillId="13" borderId="0" xfId="0" applyFont="1" applyFill="1" applyAlignment="1">
      <alignment vertical="center" wrapText="1"/>
    </xf>
    <xf numFmtId="0" fontId="29" fillId="13" borderId="0" xfId="0" applyFont="1" applyFill="1" applyAlignment="1">
      <alignment horizontal="center" vertical="center" wrapText="1"/>
    </xf>
    <xf numFmtId="0" fontId="29" fillId="16" borderId="0" xfId="0" applyFont="1" applyFill="1" applyAlignment="1">
      <alignment vertical="center"/>
    </xf>
    <xf numFmtId="166" fontId="59" fillId="16" borderId="0" xfId="0" applyNumberFormat="1" applyFont="1" applyFill="1" applyAlignment="1">
      <alignment vertical="center"/>
    </xf>
    <xf numFmtId="166" fontId="59" fillId="16" borderId="0" xfId="0" applyNumberFormat="1" applyFont="1" applyFill="1" applyAlignment="1">
      <alignment horizontal="center" vertical="center"/>
    </xf>
    <xf numFmtId="0" fontId="60" fillId="16" borderId="0" xfId="0" applyFont="1" applyFill="1" applyAlignment="1">
      <alignment horizontal="left"/>
    </xf>
    <xf numFmtId="0" fontId="59" fillId="16" borderId="0" xfId="0" applyFont="1" applyFill="1" applyAlignment="1">
      <alignment vertical="center"/>
    </xf>
    <xf numFmtId="0" fontId="59" fillId="16" borderId="0" xfId="0" applyFont="1" applyFill="1" applyAlignment="1">
      <alignment horizontal="center" vertical="center"/>
    </xf>
    <xf numFmtId="0" fontId="48" fillId="13" borderId="0" xfId="0" applyFont="1" applyFill="1" applyAlignment="1">
      <alignment horizontal="center" vertical="center"/>
    </xf>
    <xf numFmtId="166" fontId="59" fillId="13" borderId="0" xfId="0" applyNumberFormat="1" applyFont="1" applyFill="1" applyAlignment="1">
      <alignment horizontal="center" vertical="center"/>
    </xf>
    <xf numFmtId="0" fontId="60" fillId="13" borderId="0" xfId="0" applyFont="1" applyFill="1" applyAlignment="1">
      <alignment horizontal="left"/>
    </xf>
    <xf numFmtId="0" fontId="59" fillId="13" borderId="0" xfId="0" applyFont="1" applyFill="1" applyAlignment="1">
      <alignment horizontal="center" vertical="center"/>
    </xf>
    <xf numFmtId="0" fontId="58" fillId="14" borderId="0" xfId="0" applyFont="1" applyFill="1" applyAlignment="1">
      <alignment vertical="center" wrapText="1"/>
    </xf>
    <xf numFmtId="0" fontId="29" fillId="14" borderId="0" xfId="0" applyFont="1" applyFill="1" applyAlignment="1">
      <alignment horizontal="center" vertical="center" wrapText="1"/>
    </xf>
    <xf numFmtId="0" fontId="29" fillId="15" borderId="0" xfId="0" applyFont="1" applyFill="1" applyAlignment="1">
      <alignment horizontal="center" vertical="center" wrapText="1"/>
    </xf>
    <xf numFmtId="0" fontId="62" fillId="13" borderId="0" xfId="0" applyFont="1" applyFill="1" applyAlignment="1">
      <alignment vertical="center"/>
    </xf>
    <xf numFmtId="0" fontId="57" fillId="13" borderId="0" xfId="0" applyFont="1" applyFill="1" applyAlignment="1">
      <alignment horizontal="center" vertical="center" wrapText="1"/>
    </xf>
    <xf numFmtId="0" fontId="65" fillId="13" borderId="0" xfId="0" applyFont="1" applyFill="1" applyAlignment="1">
      <alignment horizontal="center" vertical="center"/>
    </xf>
    <xf numFmtId="0" fontId="37" fillId="16" borderId="0" xfId="0" applyFont="1" applyFill="1" applyAlignment="1">
      <alignment vertical="center"/>
    </xf>
    <xf numFmtId="0" fontId="57" fillId="14" borderId="0" xfId="0" applyFont="1" applyFill="1" applyAlignment="1">
      <alignment vertical="center" wrapText="1"/>
    </xf>
    <xf numFmtId="0" fontId="57" fillId="14" borderId="0" xfId="0" applyFont="1" applyFill="1" applyAlignment="1">
      <alignment horizontal="center" vertical="center" wrapText="1"/>
    </xf>
    <xf numFmtId="0" fontId="57" fillId="15" borderId="0" xfId="0" applyFont="1" applyFill="1" applyAlignment="1">
      <alignment vertical="center" wrapText="1"/>
    </xf>
    <xf numFmtId="0" fontId="57" fillId="15" borderId="0" xfId="0" applyFont="1" applyFill="1" applyAlignment="1">
      <alignment horizontal="center" vertical="center" wrapText="1"/>
    </xf>
    <xf numFmtId="0" fontId="66" fillId="13" borderId="0" xfId="0" applyFont="1" applyFill="1" applyAlignment="1">
      <alignment horizontal="center" vertical="center"/>
    </xf>
    <xf numFmtId="0" fontId="66" fillId="13" borderId="0" xfId="0" applyFont="1" applyFill="1" applyAlignment="1">
      <alignment horizontal="left" vertical="center" indent="1"/>
    </xf>
    <xf numFmtId="0" fontId="62" fillId="16" borderId="0" xfId="0" applyFont="1" applyFill="1" applyAlignment="1">
      <alignment vertical="center"/>
    </xf>
    <xf numFmtId="3" fontId="30" fillId="13" borderId="12" xfId="1" applyNumberFormat="1" applyFont="1" applyFill="1" applyBorder="1" applyAlignment="1">
      <alignment horizontal="center" vertical="center"/>
    </xf>
    <xf numFmtId="3" fontId="30" fillId="13" borderId="17" xfId="1" applyNumberFormat="1" applyFont="1" applyFill="1" applyBorder="1" applyAlignment="1">
      <alignment horizontal="center" vertical="center"/>
    </xf>
    <xf numFmtId="3" fontId="30" fillId="13" borderId="0" xfId="1" applyNumberFormat="1" applyFont="1" applyFill="1" applyBorder="1" applyAlignment="1">
      <alignment horizontal="center" vertical="center"/>
    </xf>
    <xf numFmtId="164" fontId="47" fillId="13" borderId="17" xfId="1" applyNumberFormat="1" applyFont="1" applyFill="1" applyBorder="1" applyAlignment="1">
      <alignment vertical="center"/>
    </xf>
    <xf numFmtId="164" fontId="30" fillId="13" borderId="0" xfId="1" applyNumberFormat="1" applyFont="1" applyFill="1" applyBorder="1" applyAlignment="1">
      <alignment vertical="center"/>
    </xf>
    <xf numFmtId="9" fontId="30" fillId="13" borderId="19" xfId="2" applyFont="1" applyFill="1" applyBorder="1" applyAlignment="1">
      <alignment horizontal="center" vertical="center"/>
    </xf>
    <xf numFmtId="9" fontId="30" fillId="13" borderId="20" xfId="2" applyFont="1" applyFill="1" applyBorder="1" applyAlignment="1">
      <alignment horizontal="center" vertical="center"/>
    </xf>
    <xf numFmtId="9" fontId="30" fillId="13" borderId="0" xfId="2" applyFont="1" applyFill="1" applyBorder="1" applyAlignment="1">
      <alignment horizontal="center" vertical="center"/>
    </xf>
    <xf numFmtId="3" fontId="30" fillId="14" borderId="0" xfId="0" applyNumberFormat="1" applyFont="1" applyFill="1" applyAlignment="1">
      <alignment vertical="center"/>
    </xf>
    <xf numFmtId="9" fontId="47" fillId="13" borderId="20" xfId="2" applyFont="1" applyFill="1" applyBorder="1" applyAlignment="1">
      <alignment vertical="center"/>
    </xf>
    <xf numFmtId="9" fontId="30" fillId="13" borderId="0" xfId="2" applyFont="1" applyFill="1" applyBorder="1" applyAlignment="1">
      <alignment vertical="center"/>
    </xf>
    <xf numFmtId="164" fontId="47" fillId="13" borderId="50" xfId="1" applyNumberFormat="1" applyFont="1" applyFill="1" applyBorder="1" applyAlignment="1">
      <alignment vertical="center"/>
    </xf>
    <xf numFmtId="0" fontId="46" fillId="14" borderId="0" xfId="0" applyFont="1" applyFill="1" applyAlignment="1">
      <alignment vertical="center"/>
    </xf>
    <xf numFmtId="0" fontId="30" fillId="14" borderId="0" xfId="0" applyFont="1" applyFill="1" applyAlignment="1">
      <alignment horizontal="center" vertical="center"/>
    </xf>
    <xf numFmtId="37" fontId="30" fillId="14" borderId="0" xfId="0" applyNumberFormat="1" applyFont="1" applyFill="1" applyAlignment="1">
      <alignment vertical="center"/>
    </xf>
    <xf numFmtId="0" fontId="48" fillId="15" borderId="0" xfId="0" applyFont="1" applyFill="1" applyAlignment="1">
      <alignment horizontal="center" vertical="center"/>
    </xf>
    <xf numFmtId="164" fontId="30" fillId="13" borderId="0" xfId="0" applyNumberFormat="1" applyFont="1" applyFill="1" applyAlignment="1">
      <alignment vertical="center"/>
    </xf>
    <xf numFmtId="1" fontId="47" fillId="13" borderId="20" xfId="0" applyNumberFormat="1" applyFont="1" applyFill="1" applyBorder="1" applyAlignment="1">
      <alignment vertical="center"/>
    </xf>
    <xf numFmtId="1" fontId="30" fillId="13" borderId="0" xfId="0" applyNumberFormat="1" applyFont="1" applyFill="1" applyAlignment="1">
      <alignment vertical="center"/>
    </xf>
    <xf numFmtId="0" fontId="58" fillId="16" borderId="0" xfId="0" applyFont="1" applyFill="1" applyAlignment="1">
      <alignment horizontal="left" vertical="center"/>
    </xf>
    <xf numFmtId="164" fontId="30" fillId="16" borderId="0" xfId="0" applyNumberFormat="1" applyFont="1" applyFill="1" applyAlignment="1">
      <alignment vertical="center"/>
    </xf>
    <xf numFmtId="3" fontId="30" fillId="13" borderId="46" xfId="2" applyNumberFormat="1" applyFont="1" applyFill="1" applyBorder="1" applyAlignment="1">
      <alignment horizontal="center" vertical="center"/>
    </xf>
    <xf numFmtId="3" fontId="30" fillId="13" borderId="47" xfId="2" applyNumberFormat="1" applyFont="1" applyFill="1" applyBorder="1" applyAlignment="1">
      <alignment horizontal="center" vertical="center"/>
    </xf>
    <xf numFmtId="3" fontId="30" fillId="13" borderId="0" xfId="2" applyNumberFormat="1" applyFont="1" applyFill="1" applyBorder="1" applyAlignment="1">
      <alignment horizontal="center" vertical="center"/>
    </xf>
    <xf numFmtId="164" fontId="47" fillId="13" borderId="55" xfId="1" applyNumberFormat="1" applyFont="1" applyFill="1" applyBorder="1" applyAlignment="1">
      <alignment vertical="center"/>
    </xf>
    <xf numFmtId="3" fontId="30" fillId="13" borderId="58" xfId="2" applyNumberFormat="1" applyFont="1" applyFill="1" applyBorder="1" applyAlignment="1">
      <alignment horizontal="center" vertical="center"/>
    </xf>
    <xf numFmtId="3" fontId="30" fillId="13" borderId="59" xfId="2" applyNumberFormat="1" applyFont="1" applyFill="1" applyBorder="1" applyAlignment="1">
      <alignment horizontal="center" vertical="center"/>
    </xf>
    <xf numFmtId="9" fontId="47" fillId="13" borderId="17" xfId="2" applyFont="1" applyFill="1" applyBorder="1" applyAlignment="1">
      <alignment horizontal="right" vertical="center"/>
    </xf>
    <xf numFmtId="9" fontId="30" fillId="13" borderId="0" xfId="2" applyFont="1" applyFill="1" applyBorder="1" applyAlignment="1">
      <alignment horizontal="right" vertical="center"/>
    </xf>
    <xf numFmtId="37" fontId="30" fillId="13" borderId="19" xfId="1" applyNumberFormat="1" applyFont="1" applyFill="1" applyBorder="1" applyAlignment="1">
      <alignment horizontal="center" vertical="center"/>
    </xf>
    <xf numFmtId="37" fontId="30" fillId="13" borderId="20" xfId="1" applyNumberFormat="1" applyFont="1" applyFill="1" applyBorder="1" applyAlignment="1">
      <alignment horizontal="center" vertical="center"/>
    </xf>
    <xf numFmtId="164" fontId="47" fillId="13" borderId="20" xfId="1" applyNumberFormat="1" applyFont="1" applyFill="1" applyBorder="1" applyAlignment="1">
      <alignment vertical="center"/>
    </xf>
    <xf numFmtId="0" fontId="30" fillId="14" borderId="0" xfId="0" applyFont="1" applyFill="1" applyAlignment="1">
      <alignment horizontal="center"/>
    </xf>
    <xf numFmtId="164" fontId="56" fillId="13" borderId="55" xfId="0" applyNumberFormat="1" applyFont="1" applyFill="1" applyBorder="1" applyAlignment="1">
      <alignment vertical="center"/>
    </xf>
    <xf numFmtId="164" fontId="30" fillId="15" borderId="0" xfId="0" applyNumberFormat="1" applyFont="1" applyFill="1" applyAlignment="1">
      <alignment vertical="center"/>
    </xf>
    <xf numFmtId="0" fontId="67" fillId="13" borderId="0" xfId="0" applyFont="1" applyFill="1"/>
    <xf numFmtId="0" fontId="48" fillId="13" borderId="0" xfId="0" applyFont="1" applyFill="1" applyAlignment="1">
      <alignment horizontal="center"/>
    </xf>
    <xf numFmtId="164" fontId="47" fillId="13" borderId="17" xfId="0" applyNumberFormat="1" applyFont="1" applyFill="1" applyBorder="1" applyAlignment="1">
      <alignment vertical="center"/>
    </xf>
    <xf numFmtId="166" fontId="56" fillId="13" borderId="46" xfId="1" applyNumberFormat="1" applyFont="1" applyFill="1" applyBorder="1" applyAlignment="1">
      <alignment horizontal="center" vertical="center"/>
    </xf>
    <xf numFmtId="166" fontId="56" fillId="13" borderId="47" xfId="1" applyNumberFormat="1" applyFont="1" applyFill="1" applyBorder="1" applyAlignment="1">
      <alignment horizontal="center" vertical="center"/>
    </xf>
    <xf numFmtId="165" fontId="30" fillId="13" borderId="0" xfId="1" applyNumberFormat="1" applyFont="1" applyFill="1" applyBorder="1" applyAlignment="1">
      <alignment vertical="center"/>
    </xf>
    <xf numFmtId="0" fontId="67" fillId="14" borderId="0" xfId="0" applyFont="1" applyFill="1"/>
    <xf numFmtId="0" fontId="29" fillId="14" borderId="0" xfId="0" applyFont="1" applyFill="1" applyAlignment="1">
      <alignment horizontal="center"/>
    </xf>
    <xf numFmtId="0" fontId="62" fillId="16" borderId="0" xfId="0" applyFont="1" applyFill="1" applyAlignment="1">
      <alignment horizontal="center" vertical="center"/>
    </xf>
    <xf numFmtId="37" fontId="56" fillId="13" borderId="15" xfId="0" applyNumberFormat="1" applyFont="1" applyFill="1" applyBorder="1" applyAlignment="1">
      <alignment horizontal="center" vertical="center"/>
    </xf>
    <xf numFmtId="166" fontId="56" fillId="13" borderId="55" xfId="1" applyNumberFormat="1" applyFont="1" applyFill="1" applyBorder="1" applyAlignment="1">
      <alignment vertical="center"/>
    </xf>
    <xf numFmtId="166" fontId="30" fillId="13" borderId="0" xfId="1" applyNumberFormat="1" applyFont="1" applyFill="1" applyBorder="1" applyAlignment="1">
      <alignment vertical="center"/>
    </xf>
    <xf numFmtId="166" fontId="56" fillId="13" borderId="20" xfId="0" applyNumberFormat="1" applyFont="1" applyFill="1" applyBorder="1" applyAlignment="1">
      <alignment horizontal="center" vertical="center"/>
    </xf>
    <xf numFmtId="0" fontId="48" fillId="15" borderId="0" xfId="0" applyFont="1" applyFill="1" applyAlignment="1">
      <alignment horizontal="center"/>
    </xf>
    <xf numFmtId="0" fontId="68" fillId="13" borderId="0" xfId="0" applyFont="1" applyFill="1" applyAlignment="1">
      <alignment horizontal="left" vertical="center" indent="1"/>
    </xf>
    <xf numFmtId="0" fontId="29" fillId="15" borderId="0" xfId="0" applyFont="1" applyFill="1" applyAlignment="1">
      <alignment horizontal="center"/>
    </xf>
    <xf numFmtId="0" fontId="70" fillId="13" borderId="0" xfId="0" applyFont="1" applyFill="1" applyAlignment="1">
      <alignment vertical="center"/>
    </xf>
    <xf numFmtId="0" fontId="71" fillId="13" borderId="0" xfId="3" applyFont="1" applyFill="1" applyAlignment="1">
      <alignment vertical="center"/>
    </xf>
    <xf numFmtId="0" fontId="70" fillId="13" borderId="0" xfId="0" applyFont="1" applyFill="1"/>
    <xf numFmtId="0" fontId="73" fillId="13" borderId="0" xfId="0" applyFont="1" applyFill="1" applyAlignment="1">
      <alignment vertical="center"/>
    </xf>
    <xf numFmtId="0" fontId="73" fillId="13" borderId="0" xfId="0" applyFont="1" applyFill="1" applyAlignment="1">
      <alignment horizontal="center" vertical="center" wrapText="1"/>
    </xf>
    <xf numFmtId="0" fontId="73" fillId="13" borderId="0" xfId="0" applyFont="1" applyFill="1" applyAlignment="1">
      <alignment horizontal="center" vertical="center"/>
    </xf>
    <xf numFmtId="0" fontId="73" fillId="13" borderId="0" xfId="0" applyFont="1" applyFill="1" applyAlignment="1">
      <alignment vertical="center" wrapText="1"/>
    </xf>
    <xf numFmtId="0" fontId="73" fillId="13" borderId="14" xfId="0" applyFont="1" applyFill="1" applyBorder="1" applyAlignment="1">
      <alignment horizontal="center" vertical="center"/>
    </xf>
    <xf numFmtId="0" fontId="73" fillId="13" borderId="14" xfId="0" applyFont="1" applyFill="1" applyBorder="1" applyAlignment="1">
      <alignment horizontal="center" vertical="center" wrapText="1"/>
    </xf>
    <xf numFmtId="0" fontId="73" fillId="13" borderId="15" xfId="0" applyFont="1" applyFill="1" applyBorder="1" applyAlignment="1">
      <alignment horizontal="center" vertical="center"/>
    </xf>
    <xf numFmtId="0" fontId="75" fillId="13" borderId="0" xfId="0" applyFont="1" applyFill="1" applyAlignment="1">
      <alignment horizontal="left" vertical="top" wrapText="1"/>
    </xf>
    <xf numFmtId="0" fontId="76" fillId="13" borderId="0" xfId="0" applyFont="1" applyFill="1" applyAlignment="1">
      <alignment vertical="center" wrapText="1"/>
    </xf>
    <xf numFmtId="0" fontId="76" fillId="13" borderId="0" xfId="0" applyFont="1" applyFill="1" applyAlignment="1">
      <alignment horizontal="center" vertical="center" wrapText="1"/>
    </xf>
    <xf numFmtId="0" fontId="76" fillId="13" borderId="0" xfId="0" applyFont="1" applyFill="1" applyAlignment="1">
      <alignment horizontal="center" vertical="center"/>
    </xf>
    <xf numFmtId="0" fontId="76" fillId="13" borderId="0" xfId="0" applyFont="1" applyFill="1" applyAlignment="1">
      <alignment vertical="center"/>
    </xf>
    <xf numFmtId="0" fontId="53" fillId="13" borderId="0" xfId="3" applyFont="1" applyFill="1" applyAlignment="1">
      <alignment horizontal="left" vertical="top" wrapText="1"/>
    </xf>
    <xf numFmtId="0" fontId="53" fillId="13" borderId="0" xfId="3" applyFont="1" applyFill="1" applyAlignment="1">
      <alignment horizontal="left" vertical="top"/>
    </xf>
    <xf numFmtId="0" fontId="78" fillId="13" borderId="0" xfId="3" applyFont="1" applyFill="1" applyAlignment="1">
      <alignment horizontal="left" vertical="top"/>
    </xf>
    <xf numFmtId="0" fontId="70" fillId="13" borderId="0" xfId="0" applyFont="1" applyFill="1" applyAlignment="1">
      <alignment horizontal="left" vertical="center"/>
    </xf>
    <xf numFmtId="3" fontId="47" fillId="17" borderId="35" xfId="0" applyNumberFormat="1" applyFont="1" applyFill="1" applyBorder="1" applyAlignment="1" applyProtection="1">
      <alignment horizontal="center" vertical="center"/>
      <protection locked="0"/>
    </xf>
    <xf numFmtId="3" fontId="47" fillId="17" borderId="36" xfId="0" applyNumberFormat="1" applyFont="1" applyFill="1" applyBorder="1" applyAlignment="1" applyProtection="1">
      <alignment horizontal="center" vertical="center"/>
      <protection locked="0"/>
    </xf>
    <xf numFmtId="9" fontId="47" fillId="17" borderId="35" xfId="0" applyNumberFormat="1" applyFont="1" applyFill="1" applyBorder="1" applyAlignment="1" applyProtection="1">
      <alignment horizontal="center" vertical="center"/>
      <protection locked="0"/>
    </xf>
    <xf numFmtId="9" fontId="47" fillId="17" borderId="36" xfId="0" applyNumberFormat="1" applyFont="1" applyFill="1" applyBorder="1" applyAlignment="1" applyProtection="1">
      <alignment horizontal="center" vertical="center"/>
      <protection locked="0"/>
    </xf>
    <xf numFmtId="166" fontId="30" fillId="13" borderId="12" xfId="1" applyNumberFormat="1" applyFont="1" applyFill="1" applyBorder="1" applyAlignment="1" applyProtection="1">
      <alignment horizontal="center" vertical="center"/>
      <protection locked="0"/>
    </xf>
    <xf numFmtId="166" fontId="30" fillId="13" borderId="17" xfId="1" applyNumberFormat="1" applyFont="1" applyFill="1" applyBorder="1" applyAlignment="1" applyProtection="1">
      <alignment horizontal="center" vertical="center"/>
      <protection locked="0"/>
    </xf>
    <xf numFmtId="165" fontId="47" fillId="13" borderId="17" xfId="1" applyNumberFormat="1" applyFont="1" applyFill="1" applyBorder="1" applyAlignment="1" applyProtection="1">
      <alignment vertical="center"/>
      <protection locked="0"/>
    </xf>
    <xf numFmtId="3" fontId="47" fillId="17" borderId="37" xfId="0" applyNumberFormat="1" applyFont="1" applyFill="1" applyBorder="1" applyAlignment="1" applyProtection="1">
      <alignment horizontal="center" vertical="center"/>
      <protection locked="0"/>
    </xf>
    <xf numFmtId="9" fontId="47" fillId="17" borderId="37" xfId="0" applyNumberFormat="1" applyFont="1" applyFill="1" applyBorder="1" applyAlignment="1" applyProtection="1">
      <alignment horizontal="center" vertical="center"/>
      <protection locked="0"/>
    </xf>
    <xf numFmtId="167" fontId="47" fillId="17" borderId="37" xfId="0" applyNumberFormat="1" applyFont="1" applyFill="1" applyBorder="1" applyAlignment="1" applyProtection="1">
      <alignment horizontal="center" vertical="center"/>
      <protection locked="0"/>
    </xf>
    <xf numFmtId="2" fontId="47" fillId="17" borderId="37" xfId="0" applyNumberFormat="1" applyFont="1" applyFill="1" applyBorder="1" applyAlignment="1" applyProtection="1">
      <alignment horizontal="center" vertical="center"/>
      <protection locked="0"/>
    </xf>
    <xf numFmtId="37" fontId="57" fillId="13" borderId="46" xfId="1" applyNumberFormat="1" applyFont="1" applyFill="1" applyBorder="1" applyAlignment="1">
      <alignment horizontal="center" vertical="center"/>
    </xf>
    <xf numFmtId="37" fontId="57" fillId="13" borderId="47" xfId="1" applyNumberFormat="1" applyFont="1" applyFill="1" applyBorder="1" applyAlignment="1">
      <alignment horizontal="center" vertical="center"/>
    </xf>
    <xf numFmtId="0" fontId="80" fillId="13" borderId="0" xfId="0" applyFont="1" applyFill="1" applyAlignment="1">
      <alignment vertical="top"/>
    </xf>
    <xf numFmtId="0" fontId="72" fillId="13" borderId="0" xfId="0" applyFont="1" applyFill="1" applyAlignment="1">
      <alignment horizontal="center" wrapText="1"/>
    </xf>
    <xf numFmtId="0" fontId="77" fillId="13" borderId="0" xfId="0" applyFont="1" applyFill="1" applyAlignment="1">
      <alignment horizontal="center" vertical="center" wrapText="1"/>
    </xf>
    <xf numFmtId="0" fontId="30" fillId="13" borderId="0" xfId="0" applyFont="1" applyFill="1" applyAlignment="1">
      <alignment horizontal="left" vertical="center"/>
    </xf>
    <xf numFmtId="0" fontId="31" fillId="13" borderId="0" xfId="0" applyFont="1" applyFill="1" applyAlignment="1">
      <alignment horizontal="center" vertical="center"/>
    </xf>
    <xf numFmtId="0" fontId="34" fillId="13" borderId="0" xfId="0" applyFont="1" applyFill="1" applyAlignment="1">
      <alignment horizontal="center" wrapText="1"/>
    </xf>
    <xf numFmtId="0" fontId="72" fillId="13" borderId="0" xfId="0" applyFont="1" applyFill="1" applyAlignment="1">
      <alignment horizontal="center"/>
    </xf>
    <xf numFmtId="0" fontId="77" fillId="13" borderId="0" xfId="0" applyFont="1" applyFill="1" applyAlignment="1">
      <alignment horizontal="center" vertical="center"/>
    </xf>
    <xf numFmtId="0" fontId="64" fillId="13" borderId="0" xfId="0" applyFont="1" applyFill="1" applyAlignment="1">
      <alignment horizontal="center" vertical="center" wrapText="1"/>
    </xf>
    <xf numFmtId="0" fontId="39" fillId="13" borderId="0" xfId="0" applyFont="1" applyFill="1" applyAlignment="1">
      <alignment horizontal="left" vertical="center"/>
    </xf>
    <xf numFmtId="0" fontId="44" fillId="13" borderId="0" xfId="0" applyFont="1" applyFill="1" applyAlignment="1">
      <alignment horizontal="center" vertical="center"/>
    </xf>
    <xf numFmtId="0" fontId="49" fillId="13" borderId="38" xfId="0" applyFont="1" applyFill="1" applyBorder="1" applyAlignment="1">
      <alignment horizontal="center" vertical="center"/>
    </xf>
    <xf numFmtId="0" fontId="51" fillId="13" borderId="0" xfId="0" applyFont="1" applyFill="1" applyAlignment="1">
      <alignment horizontal="center" vertical="center"/>
    </xf>
    <xf numFmtId="0" fontId="51" fillId="13" borderId="34" xfId="0" applyFont="1" applyFill="1" applyBorder="1" applyAlignment="1">
      <alignment horizontal="center" vertical="center"/>
    </xf>
    <xf numFmtId="0" fontId="51" fillId="13" borderId="13" xfId="0" applyFont="1" applyFill="1" applyBorder="1" applyAlignment="1">
      <alignment horizontal="center" vertical="center"/>
    </xf>
    <xf numFmtId="0" fontId="51" fillId="13" borderId="15" xfId="0" applyFont="1" applyFill="1" applyBorder="1" applyAlignment="1">
      <alignment horizontal="center" vertical="center"/>
    </xf>
    <xf numFmtId="0" fontId="51" fillId="13" borderId="16" xfId="0" applyFont="1" applyFill="1" applyBorder="1" applyAlignment="1">
      <alignment horizontal="center" vertical="center"/>
    </xf>
    <xf numFmtId="0" fontId="51" fillId="13" borderId="17" xfId="0" applyFont="1" applyFill="1" applyBorder="1" applyAlignment="1">
      <alignment horizontal="center" vertical="center"/>
    </xf>
    <xf numFmtId="0" fontId="39" fillId="13" borderId="39" xfId="0" applyFont="1" applyFill="1" applyBorder="1" applyAlignment="1">
      <alignment horizontal="left" vertical="center"/>
    </xf>
    <xf numFmtId="0" fontId="39" fillId="13" borderId="40" xfId="0" applyFont="1" applyFill="1" applyBorder="1" applyAlignment="1">
      <alignment horizontal="left" vertical="center"/>
    </xf>
    <xf numFmtId="0" fontId="47" fillId="13" borderId="0" xfId="0" applyFont="1" applyFill="1" applyAlignment="1">
      <alignment horizontal="left" vertical="center"/>
    </xf>
    <xf numFmtId="0" fontId="47" fillId="13" borderId="25" xfId="0" applyFont="1" applyFill="1" applyBorder="1" applyAlignment="1">
      <alignment horizontal="left" vertical="center"/>
    </xf>
    <xf numFmtId="0" fontId="47" fillId="13" borderId="42" xfId="0" applyFont="1" applyFill="1" applyBorder="1" applyAlignment="1">
      <alignment horizontal="left" vertical="center"/>
    </xf>
    <xf numFmtId="0" fontId="47" fillId="13" borderId="18" xfId="0" applyFont="1" applyFill="1" applyBorder="1" applyAlignment="1">
      <alignment horizontal="left" vertical="center"/>
    </xf>
    <xf numFmtId="166" fontId="61" fillId="13" borderId="0" xfId="0" applyNumberFormat="1" applyFont="1" applyFill="1" applyAlignment="1">
      <alignment horizontal="center" vertical="center"/>
    </xf>
    <xf numFmtId="0" fontId="61" fillId="13" borderId="0" xfId="0" applyFont="1" applyFill="1" applyAlignment="1">
      <alignment horizontal="center" vertical="center"/>
    </xf>
    <xf numFmtId="0" fontId="63" fillId="13" borderId="0" xfId="0" applyFont="1" applyFill="1" applyAlignment="1">
      <alignment horizontal="center" vertical="center" wrapText="1"/>
    </xf>
    <xf numFmtId="0" fontId="74" fillId="13" borderId="34" xfId="0" applyFont="1" applyFill="1" applyBorder="1" applyAlignment="1">
      <alignment horizontal="left" vertical="center"/>
    </xf>
    <xf numFmtId="0" fontId="74" fillId="13" borderId="13" xfId="0" applyFont="1" applyFill="1" applyBorder="1" applyAlignment="1">
      <alignment horizontal="left" vertical="center"/>
    </xf>
    <xf numFmtId="0" fontId="76" fillId="13" borderId="13" xfId="0" applyFont="1" applyFill="1" applyBorder="1" applyAlignment="1">
      <alignment horizontal="left" vertical="center" indent="1"/>
    </xf>
    <xf numFmtId="0" fontId="76" fillId="13" borderId="34" xfId="0" applyFont="1" applyFill="1" applyBorder="1" applyAlignment="1">
      <alignment horizontal="left" vertical="center" indent="1"/>
    </xf>
    <xf numFmtId="0" fontId="76" fillId="13" borderId="15" xfId="0" applyFont="1" applyFill="1" applyBorder="1" applyAlignment="1">
      <alignment horizontal="left" vertical="center" indent="1"/>
    </xf>
    <xf numFmtId="0" fontId="30" fillId="13" borderId="43" xfId="0" applyFont="1" applyFill="1" applyBorder="1" applyAlignment="1">
      <alignment horizontal="left" vertical="center"/>
    </xf>
    <xf numFmtId="0" fontId="30" fillId="13" borderId="16" xfId="0" applyFont="1" applyFill="1" applyBorder="1" applyAlignment="1">
      <alignment horizontal="left" vertical="center"/>
    </xf>
    <xf numFmtId="0" fontId="47" fillId="13" borderId="43" xfId="0" applyFont="1" applyFill="1" applyBorder="1" applyAlignment="1">
      <alignment horizontal="left" vertical="center"/>
    </xf>
    <xf numFmtId="0" fontId="47" fillId="13" borderId="16" xfId="0" applyFont="1" applyFill="1" applyBorder="1" applyAlignment="1">
      <alignment horizontal="left" vertical="center"/>
    </xf>
    <xf numFmtId="0" fontId="30" fillId="13" borderId="42" xfId="0" applyFont="1" applyFill="1" applyBorder="1" applyAlignment="1">
      <alignment horizontal="left" vertical="center"/>
    </xf>
    <xf numFmtId="0" fontId="30" fillId="13" borderId="18" xfId="0" applyFont="1" applyFill="1" applyBorder="1" applyAlignment="1">
      <alignment horizontal="left" vertical="center"/>
    </xf>
    <xf numFmtId="0" fontId="57" fillId="13" borderId="44" xfId="0" applyFont="1" applyFill="1" applyBorder="1" applyAlignment="1">
      <alignment horizontal="left" vertical="center"/>
    </xf>
    <xf numFmtId="0" fontId="57" fillId="13" borderId="45" xfId="0" applyFont="1" applyFill="1" applyBorder="1" applyAlignment="1">
      <alignment horizontal="left" vertical="center"/>
    </xf>
    <xf numFmtId="0" fontId="47" fillId="13" borderId="48" xfId="0" applyFont="1" applyFill="1" applyBorder="1" applyAlignment="1">
      <alignment horizontal="left" vertical="center"/>
    </xf>
    <xf numFmtId="0" fontId="47" fillId="13" borderId="49" xfId="0" applyFont="1" applyFill="1" applyBorder="1" applyAlignment="1">
      <alignment horizontal="left" vertical="center"/>
    </xf>
    <xf numFmtId="0" fontId="47" fillId="13" borderId="0" xfId="0" applyFont="1" applyFill="1" applyAlignment="1">
      <alignment horizontal="left" vertical="top" wrapText="1"/>
    </xf>
    <xf numFmtId="0" fontId="47" fillId="13" borderId="51" xfId="0" applyFont="1" applyFill="1" applyBorder="1" applyAlignment="1">
      <alignment horizontal="left" vertical="center"/>
    </xf>
    <xf numFmtId="0" fontId="47" fillId="13" borderId="52" xfId="0" applyFont="1" applyFill="1" applyBorder="1" applyAlignment="1">
      <alignment horizontal="left" vertical="center"/>
    </xf>
    <xf numFmtId="0" fontId="30" fillId="13" borderId="44" xfId="0" applyFont="1" applyFill="1" applyBorder="1" applyAlignment="1">
      <alignment horizontal="left" vertical="center"/>
    </xf>
    <xf numFmtId="0" fontId="30" fillId="13" borderId="45" xfId="0" applyFont="1" applyFill="1" applyBorder="1" applyAlignment="1">
      <alignment horizontal="left" vertical="center"/>
    </xf>
    <xf numFmtId="0" fontId="47" fillId="13" borderId="53" xfId="0" applyFont="1" applyFill="1" applyBorder="1" applyAlignment="1">
      <alignment horizontal="left" vertical="center"/>
    </xf>
    <xf numFmtId="0" fontId="47" fillId="13" borderId="54" xfId="0" applyFont="1" applyFill="1" applyBorder="1" applyAlignment="1">
      <alignment horizontal="left" vertical="center"/>
    </xf>
    <xf numFmtId="0" fontId="30" fillId="13" borderId="56" xfId="0" applyFont="1" applyFill="1" applyBorder="1" applyAlignment="1">
      <alignment horizontal="left" vertical="center"/>
    </xf>
    <xf numFmtId="0" fontId="30" fillId="13" borderId="57" xfId="0" applyFont="1" applyFill="1" applyBorder="1" applyAlignment="1">
      <alignment horizontal="left" vertical="center"/>
    </xf>
    <xf numFmtId="0" fontId="57" fillId="13" borderId="53" xfId="0" applyFont="1" applyFill="1" applyBorder="1" applyAlignment="1">
      <alignment horizontal="left" vertical="center"/>
    </xf>
    <xf numFmtId="0" fontId="57" fillId="13" borderId="54" xfId="0" applyFont="1" applyFill="1" applyBorder="1" applyAlignment="1">
      <alignment horizontal="left" vertical="center"/>
    </xf>
    <xf numFmtId="0" fontId="76" fillId="13" borderId="13" xfId="0" applyFont="1" applyFill="1" applyBorder="1" applyAlignment="1">
      <alignment horizontal="left" vertical="center"/>
    </xf>
    <xf numFmtId="0" fontId="76" fillId="13" borderId="34" xfId="0" applyFont="1" applyFill="1" applyBorder="1" applyAlignment="1">
      <alignment horizontal="left" vertical="center"/>
    </xf>
    <xf numFmtId="0" fontId="76" fillId="13" borderId="15" xfId="0" applyFont="1" applyFill="1" applyBorder="1" applyAlignment="1">
      <alignment horizontal="left" vertical="center"/>
    </xf>
    <xf numFmtId="0" fontId="69" fillId="13" borderId="34" xfId="0" applyFont="1" applyFill="1" applyBorder="1" applyAlignment="1">
      <alignment horizontal="center" vertical="center"/>
    </xf>
    <xf numFmtId="0" fontId="69" fillId="13" borderId="13" xfId="0" applyFont="1" applyFill="1" applyBorder="1" applyAlignment="1">
      <alignment horizontal="center" vertical="center"/>
    </xf>
    <xf numFmtId="0" fontId="69" fillId="13" borderId="42" xfId="0" applyFont="1" applyFill="1" applyBorder="1" applyAlignment="1">
      <alignment horizontal="center" vertical="center"/>
    </xf>
    <xf numFmtId="0" fontId="69" fillId="13" borderId="18" xfId="0" applyFont="1" applyFill="1" applyBorder="1" applyAlignment="1">
      <alignment horizontal="center" vertical="center"/>
    </xf>
    <xf numFmtId="0" fontId="3" fillId="4" borderId="28" xfId="0" applyFont="1" applyFill="1" applyBorder="1" applyAlignment="1">
      <alignment horizontal="left" vertical="top" wrapText="1" indent="1"/>
    </xf>
    <xf numFmtId="0" fontId="3" fillId="4" borderId="29" xfId="0" applyFont="1" applyFill="1" applyBorder="1" applyAlignment="1">
      <alignment horizontal="left" vertical="top" indent="1"/>
    </xf>
    <xf numFmtId="0" fontId="3" fillId="4" borderId="30" xfId="0" applyFont="1" applyFill="1" applyBorder="1" applyAlignment="1">
      <alignment horizontal="left" vertical="top" indent="1"/>
    </xf>
    <xf numFmtId="0" fontId="3" fillId="4" borderId="31" xfId="0" applyFont="1" applyFill="1" applyBorder="1" applyAlignment="1">
      <alignment horizontal="left" vertical="top" indent="1"/>
    </xf>
    <xf numFmtId="0" fontId="3" fillId="4" borderId="32" xfId="0" applyFont="1" applyFill="1" applyBorder="1" applyAlignment="1">
      <alignment horizontal="left" vertical="top" indent="1"/>
    </xf>
    <xf numFmtId="0" fontId="3" fillId="4" borderId="33" xfId="0" applyFont="1" applyFill="1" applyBorder="1" applyAlignment="1">
      <alignment horizontal="left" vertical="top" indent="1"/>
    </xf>
    <xf numFmtId="0" fontId="12" fillId="8" borderId="0" xfId="0" applyFont="1" applyFill="1" applyAlignment="1">
      <alignment horizontal="center" vertical="center"/>
    </xf>
    <xf numFmtId="166" fontId="12" fillId="11" borderId="0" xfId="0" applyNumberFormat="1" applyFont="1" applyFill="1" applyAlignment="1">
      <alignment horizontal="center" vertical="center"/>
    </xf>
    <xf numFmtId="0" fontId="13" fillId="0" borderId="0" xfId="0" applyFont="1" applyAlignment="1">
      <alignment horizontal="center" vertical="center" wrapText="1"/>
    </xf>
    <xf numFmtId="0" fontId="12" fillId="9" borderId="0" xfId="0" applyFont="1" applyFill="1" applyAlignment="1">
      <alignment horizontal="center" vertical="center"/>
    </xf>
    <xf numFmtId="0" fontId="6" fillId="6" borderId="13" xfId="0" applyFont="1" applyFill="1" applyBorder="1" applyAlignment="1">
      <alignment horizontal="left" vertical="center" indent="1"/>
    </xf>
    <xf numFmtId="0" fontId="6" fillId="6" borderId="15" xfId="0" applyFont="1" applyFill="1" applyBorder="1" applyAlignment="1">
      <alignment horizontal="left" vertical="center" indent="1"/>
    </xf>
    <xf numFmtId="0" fontId="12" fillId="6" borderId="0" xfId="0" applyFont="1" applyFill="1" applyAlignment="1">
      <alignment horizontal="center" vertical="center"/>
    </xf>
    <xf numFmtId="0" fontId="13" fillId="0" borderId="8" xfId="0" applyFont="1" applyBorder="1" applyAlignment="1">
      <alignment horizontal="center" vertical="center" wrapText="1"/>
    </xf>
    <xf numFmtId="0" fontId="24" fillId="8" borderId="0" xfId="0" applyFont="1" applyFill="1" applyAlignment="1">
      <alignment horizontal="center" vertical="center"/>
    </xf>
    <xf numFmtId="0" fontId="3" fillId="0" borderId="0" xfId="0" applyFont="1" applyAlignment="1">
      <alignment horizontal="left" vertical="center"/>
    </xf>
    <xf numFmtId="0" fontId="24" fillId="6" borderId="0" xfId="0" applyFont="1" applyFill="1" applyAlignment="1">
      <alignment horizontal="center" vertical="center"/>
    </xf>
    <xf numFmtId="0" fontId="24" fillId="10" borderId="0" xfId="0" applyFont="1" applyFill="1" applyAlignment="1">
      <alignment horizontal="center" vertical="center"/>
    </xf>
    <xf numFmtId="0" fontId="16" fillId="0" borderId="0" xfId="0" applyFont="1" applyAlignment="1">
      <alignment horizontal="center" vertical="center" wrapText="1"/>
    </xf>
    <xf numFmtId="0" fontId="16" fillId="0" borderId="8" xfId="0" applyFont="1" applyBorder="1" applyAlignment="1">
      <alignment horizontal="center" vertical="center" wrapText="1"/>
    </xf>
    <xf numFmtId="0" fontId="24" fillId="11" borderId="13" xfId="0" applyFont="1" applyFill="1" applyBorder="1" applyAlignment="1">
      <alignment horizontal="center" vertical="center"/>
    </xf>
    <xf numFmtId="0" fontId="24" fillId="11" borderId="15" xfId="0" applyFont="1" applyFill="1" applyBorder="1" applyAlignment="1">
      <alignment horizontal="center" vertical="center"/>
    </xf>
    <xf numFmtId="0" fontId="24" fillId="11" borderId="16" xfId="0" applyFont="1" applyFill="1" applyBorder="1" applyAlignment="1">
      <alignment horizontal="center" vertical="center"/>
    </xf>
    <xf numFmtId="0" fontId="24" fillId="11" borderId="17" xfId="0" applyFont="1" applyFill="1" applyBorder="1" applyAlignment="1">
      <alignment horizontal="center" vertical="center"/>
    </xf>
    <xf numFmtId="0" fontId="24" fillId="9" borderId="13" xfId="0" applyFont="1" applyFill="1" applyBorder="1" applyAlignment="1">
      <alignment horizontal="center" vertical="center"/>
    </xf>
    <xf numFmtId="0" fontId="24" fillId="9" borderId="15" xfId="0" applyFont="1" applyFill="1" applyBorder="1" applyAlignment="1">
      <alignment horizontal="center" vertical="center"/>
    </xf>
    <xf numFmtId="0" fontId="24" fillId="9" borderId="16" xfId="0" applyFont="1" applyFill="1" applyBorder="1" applyAlignment="1">
      <alignment horizontal="center" vertical="center"/>
    </xf>
    <xf numFmtId="0" fontId="24" fillId="9" borderId="17"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16" fillId="0" borderId="9" xfId="0" applyFont="1" applyBorder="1" applyAlignment="1">
      <alignment horizontal="center" vertical="center" wrapText="1"/>
    </xf>
    <xf numFmtId="0" fontId="3" fillId="2" borderId="34" xfId="0" applyFont="1" applyFill="1" applyBorder="1" applyAlignment="1">
      <alignment horizontal="left" vertical="center" indent="3"/>
    </xf>
    <xf numFmtId="0" fontId="3" fillId="2" borderId="21" xfId="0" applyFont="1" applyFill="1" applyBorder="1" applyAlignment="1">
      <alignment horizontal="left" vertical="center" indent="3"/>
    </xf>
    <xf numFmtId="0" fontId="70" fillId="13" borderId="0" xfId="0" applyFont="1" applyFill="1" applyAlignment="1">
      <alignment horizontal="left" vertical="center" wrapText="1"/>
    </xf>
    <xf numFmtId="0" fontId="70" fillId="13" borderId="0" xfId="0" applyFont="1" applyFill="1" applyAlignment="1">
      <alignment horizontal="left" vertical="center"/>
    </xf>
  </cellXfs>
  <cellStyles count="4">
    <cellStyle name="Comma" xfId="1" builtinId="3"/>
    <cellStyle name="Hyperlink" xfId="3" builtinId="8"/>
    <cellStyle name="Normal" xfId="0" builtinId="0"/>
    <cellStyle name="Percent" xfId="2" builtinId="5"/>
  </cellStyles>
  <dxfs count="4">
    <dxf>
      <font>
        <b/>
        <i val="0"/>
        <strike val="0"/>
        <color theme="0"/>
      </font>
      <fill>
        <patternFill>
          <bgColor theme="8" tint="0.39994506668294322"/>
        </patternFill>
      </fill>
    </dxf>
    <dxf>
      <font>
        <b/>
        <i val="0"/>
        <strike val="0"/>
        <color theme="0"/>
      </font>
      <fill>
        <patternFill>
          <bgColor rgb="FF9900FF"/>
        </patternFill>
      </fill>
    </dxf>
    <dxf>
      <font>
        <b/>
        <i val="0"/>
        <strike val="0"/>
        <color theme="0"/>
      </font>
      <fill>
        <patternFill>
          <bgColor theme="8" tint="0.39994506668294322"/>
        </patternFill>
      </fill>
    </dxf>
    <dxf>
      <font>
        <b/>
        <i val="0"/>
        <strike val="0"/>
        <color theme="0"/>
      </font>
      <fill>
        <patternFill>
          <bgColor rgb="FF9900FF"/>
        </patternFill>
      </fill>
    </dxf>
  </dxfs>
  <tableStyles count="0" defaultTableStyle="TableStyleMedium2" defaultPivotStyle="PivotStyleLight16"/>
  <colors>
    <mruColors>
      <color rgb="FF428673"/>
      <color rgb="FF6D4AB4"/>
      <color rgb="FFF3F3F5"/>
      <color rgb="FFE0BA4E"/>
      <color rgb="FF9966FF"/>
      <color rgb="FF702573"/>
      <color rgb="FF0078D4"/>
      <color rgb="FF463668"/>
      <color rgb="FFFFFFCC"/>
      <color rgb="FFC03B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10.png"/><Relationship Id="rId3" Type="http://schemas.openxmlformats.org/officeDocument/2006/relationships/image" Target="../media/image3.png"/><Relationship Id="rId7" Type="http://schemas.openxmlformats.org/officeDocument/2006/relationships/image" Target="../media/image7.png"/><Relationship Id="rId12" Type="http://schemas.microsoft.com/office/2007/relationships/hdphoto" Target="../media/hdphoto3.wdp"/><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9.png"/><Relationship Id="rId5" Type="http://schemas.openxmlformats.org/officeDocument/2006/relationships/image" Target="../media/image5.jpeg"/><Relationship Id="rId10" Type="http://schemas.microsoft.com/office/2007/relationships/hdphoto" Target="../media/hdphoto2.wdp"/><Relationship Id="rId4" Type="http://schemas.openxmlformats.org/officeDocument/2006/relationships/image" Target="../media/image4.jpeg"/><Relationship Id="rId9" Type="http://schemas.openxmlformats.org/officeDocument/2006/relationships/image" Target="../media/image8.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0</xdr:col>
      <xdr:colOff>40698</xdr:colOff>
      <xdr:row>0</xdr:row>
      <xdr:rowOff>178953</xdr:rowOff>
    </xdr:from>
    <xdr:to>
      <xdr:col>0</xdr:col>
      <xdr:colOff>497898</xdr:colOff>
      <xdr:row>2</xdr:row>
      <xdr:rowOff>64653</xdr:rowOff>
    </xdr:to>
    <xdr:sp macro="" textlink="">
      <xdr:nvSpPr>
        <xdr:cNvPr id="22" name="Oval 1">
          <a:extLst>
            <a:ext uri="{FF2B5EF4-FFF2-40B4-BE49-F238E27FC236}">
              <a16:creationId xmlns:a16="http://schemas.microsoft.com/office/drawing/2014/main" id="{59E4556B-92BF-47D2-9ABF-A598C31E1DD8}"/>
            </a:ext>
          </a:extLst>
        </xdr:cNvPr>
        <xdr:cNvSpPr/>
      </xdr:nvSpPr>
      <xdr:spPr>
        <a:xfrm>
          <a:off x="40698" y="178953"/>
          <a:ext cx="457200" cy="457200"/>
        </a:xfrm>
        <a:prstGeom prst="ellipse">
          <a:avLst/>
        </a:prstGeom>
        <a:solidFill>
          <a:srgbClr val="4636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t>1</a:t>
          </a:r>
        </a:p>
      </xdr:txBody>
    </xdr:sp>
    <xdr:clientData/>
  </xdr:twoCellAnchor>
  <xdr:twoCellAnchor>
    <xdr:from>
      <xdr:col>12</xdr:col>
      <xdr:colOff>52676</xdr:colOff>
      <xdr:row>0</xdr:row>
      <xdr:rowOff>190065</xdr:rowOff>
    </xdr:from>
    <xdr:to>
      <xdr:col>12</xdr:col>
      <xdr:colOff>509876</xdr:colOff>
      <xdr:row>2</xdr:row>
      <xdr:rowOff>67684</xdr:rowOff>
    </xdr:to>
    <xdr:sp macro="" textlink="">
      <xdr:nvSpPr>
        <xdr:cNvPr id="3" name="Oval 2">
          <a:extLst>
            <a:ext uri="{FF2B5EF4-FFF2-40B4-BE49-F238E27FC236}">
              <a16:creationId xmlns:a16="http://schemas.microsoft.com/office/drawing/2014/main" id="{68E48A7F-B13D-4906-83C9-041B9BBCE9B8}"/>
            </a:ext>
          </a:extLst>
        </xdr:cNvPr>
        <xdr:cNvSpPr/>
      </xdr:nvSpPr>
      <xdr:spPr>
        <a:xfrm>
          <a:off x="7577426" y="190065"/>
          <a:ext cx="457200" cy="449119"/>
        </a:xfrm>
        <a:prstGeom prst="ellipse">
          <a:avLst/>
        </a:prstGeom>
        <a:solidFill>
          <a:srgbClr val="0078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t>2</a:t>
          </a:r>
        </a:p>
      </xdr:txBody>
    </xdr:sp>
    <xdr:clientData/>
  </xdr:twoCellAnchor>
  <xdr:twoCellAnchor>
    <xdr:from>
      <xdr:col>17</xdr:col>
      <xdr:colOff>55947</xdr:colOff>
      <xdr:row>0</xdr:row>
      <xdr:rowOff>191604</xdr:rowOff>
    </xdr:from>
    <xdr:to>
      <xdr:col>17</xdr:col>
      <xdr:colOff>513147</xdr:colOff>
      <xdr:row>2</xdr:row>
      <xdr:rowOff>77304</xdr:rowOff>
    </xdr:to>
    <xdr:sp macro="" textlink="">
      <xdr:nvSpPr>
        <xdr:cNvPr id="4" name="Oval 3">
          <a:extLst>
            <a:ext uri="{FF2B5EF4-FFF2-40B4-BE49-F238E27FC236}">
              <a16:creationId xmlns:a16="http://schemas.microsoft.com/office/drawing/2014/main" id="{69CC0D87-4F7B-4F4F-8ADE-50D01A42393D}"/>
            </a:ext>
          </a:extLst>
        </xdr:cNvPr>
        <xdr:cNvSpPr/>
      </xdr:nvSpPr>
      <xdr:spPr>
        <a:xfrm>
          <a:off x="21693572" y="191604"/>
          <a:ext cx="457200" cy="457200"/>
        </a:xfrm>
        <a:prstGeom prst="ellipse">
          <a:avLst/>
        </a:prstGeom>
        <a:solidFill>
          <a:srgbClr val="7025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t>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133350</xdr:rowOff>
    </xdr:from>
    <xdr:to>
      <xdr:col>14</xdr:col>
      <xdr:colOff>0</xdr:colOff>
      <xdr:row>1</xdr:row>
      <xdr:rowOff>1266825</xdr:rowOff>
    </xdr:to>
    <xdr:sp macro="" textlink="">
      <xdr:nvSpPr>
        <xdr:cNvPr id="2" name="Rectangle: Rounded Corners 1">
          <a:extLst>
            <a:ext uri="{FF2B5EF4-FFF2-40B4-BE49-F238E27FC236}">
              <a16:creationId xmlns:a16="http://schemas.microsoft.com/office/drawing/2014/main" id="{6959F35A-C2DE-4B30-8934-4ABC1361F785}"/>
            </a:ext>
          </a:extLst>
        </xdr:cNvPr>
        <xdr:cNvSpPr/>
      </xdr:nvSpPr>
      <xdr:spPr>
        <a:xfrm>
          <a:off x="57150" y="133350"/>
          <a:ext cx="12620625" cy="1400175"/>
        </a:xfrm>
        <a:prstGeom prst="roundRect">
          <a:avLst/>
        </a:prstGeom>
        <a:gradFill>
          <a:gsLst>
            <a:gs pos="0">
              <a:srgbClr val="F3F3F5"/>
            </a:gs>
            <a:gs pos="42000">
              <a:srgbClr val="C4B5E1"/>
            </a:gs>
            <a:gs pos="100000">
              <a:srgbClr val="C4B5E1"/>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kern="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243910</xdr:colOff>
      <xdr:row>0</xdr:row>
      <xdr:rowOff>30444</xdr:rowOff>
    </xdr:from>
    <xdr:to>
      <xdr:col>2</xdr:col>
      <xdr:colOff>1083795</xdr:colOff>
      <xdr:row>2</xdr:row>
      <xdr:rowOff>8031</xdr:rowOff>
    </xdr:to>
    <xdr:pic>
      <xdr:nvPicPr>
        <xdr:cNvPr id="3" name="Picture 2" descr="A purple and orange circle with dots&#10;&#10;AI-generated content may be incorrect.">
          <a:extLst>
            <a:ext uri="{FF2B5EF4-FFF2-40B4-BE49-F238E27FC236}">
              <a16:creationId xmlns:a16="http://schemas.microsoft.com/office/drawing/2014/main" id="{3CE000BB-95E7-41A1-A456-87264EC4DDA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822" t="2529" r="24935" b="6012"/>
        <a:stretch/>
      </xdr:blipFill>
      <xdr:spPr>
        <a:xfrm>
          <a:off x="243910" y="30444"/>
          <a:ext cx="1611410" cy="1571437"/>
        </a:xfrm>
        <a:prstGeom prst="ellipse">
          <a:avLst/>
        </a:prstGeom>
      </xdr:spPr>
    </xdr:pic>
    <xdr:clientData/>
  </xdr:twoCellAnchor>
  <xdr:twoCellAnchor>
    <xdr:from>
      <xdr:col>1</xdr:col>
      <xdr:colOff>328137</xdr:colOff>
      <xdr:row>1</xdr:row>
      <xdr:rowOff>255290</xdr:rowOff>
    </xdr:from>
    <xdr:to>
      <xdr:col>2</xdr:col>
      <xdr:colOff>537882</xdr:colOff>
      <xdr:row>1</xdr:row>
      <xdr:rowOff>836429</xdr:rowOff>
    </xdr:to>
    <xdr:sp macro="" textlink="">
      <xdr:nvSpPr>
        <xdr:cNvPr id="4" name="Graphic 12" descr="Badge 1 with solid fill">
          <a:extLst>
            <a:ext uri="{FF2B5EF4-FFF2-40B4-BE49-F238E27FC236}">
              <a16:creationId xmlns:a16="http://schemas.microsoft.com/office/drawing/2014/main" id="{C52CF031-9DD6-4F1A-B5C7-AFD32B4141C0}"/>
            </a:ext>
          </a:extLst>
        </xdr:cNvPr>
        <xdr:cNvSpPr/>
      </xdr:nvSpPr>
      <xdr:spPr>
        <a:xfrm>
          <a:off x="728187" y="521990"/>
          <a:ext cx="581220" cy="581139"/>
        </a:xfrm>
        <a:custGeom>
          <a:avLst/>
          <a:gdLst>
            <a:gd name="connsiteX0" fmla="*/ 296635 w 593269"/>
            <a:gd name="connsiteY0" fmla="*/ 0 h 577964"/>
            <a:gd name="connsiteX1" fmla="*/ 0 w 593269"/>
            <a:gd name="connsiteY1" fmla="*/ 288982 h 577964"/>
            <a:gd name="connsiteX2" fmla="*/ 296635 w 593269"/>
            <a:gd name="connsiteY2" fmla="*/ 577965 h 577964"/>
            <a:gd name="connsiteX3" fmla="*/ 593270 w 593269"/>
            <a:gd name="connsiteY3" fmla="*/ 288982 h 577964"/>
            <a:gd name="connsiteX4" fmla="*/ 593270 w 593269"/>
            <a:gd name="connsiteY4" fmla="*/ 288952 h 577964"/>
            <a:gd name="connsiteX5" fmla="*/ 296869 w 593269"/>
            <a:gd name="connsiteY5" fmla="*/ 0 h 577964"/>
            <a:gd name="connsiteX6" fmla="*/ 296635 w 593269"/>
            <a:gd name="connsiteY6" fmla="*/ 0 h 577964"/>
            <a:gd name="connsiteX7" fmla="*/ 329174 w 593269"/>
            <a:gd name="connsiteY7" fmla="*/ 411647 h 577964"/>
            <a:gd name="connsiteX8" fmla="*/ 284052 w 593269"/>
            <a:gd name="connsiteY8" fmla="*/ 411647 h 577964"/>
            <a:gd name="connsiteX9" fmla="*/ 284052 w 593269"/>
            <a:gd name="connsiteY9" fmla="*/ 201707 h 577964"/>
            <a:gd name="connsiteX10" fmla="*/ 271985 w 593269"/>
            <a:gd name="connsiteY10" fmla="*/ 209035 h 577964"/>
            <a:gd name="connsiteX11" fmla="*/ 258895 w 593269"/>
            <a:gd name="connsiteY11" fmla="*/ 215350 h 577964"/>
            <a:gd name="connsiteX12" fmla="*/ 243594 w 593269"/>
            <a:gd name="connsiteY12" fmla="*/ 220532 h 577964"/>
            <a:gd name="connsiteX13" fmla="*/ 225958 w 593269"/>
            <a:gd name="connsiteY13" fmla="*/ 225204 h 577964"/>
            <a:gd name="connsiteX14" fmla="*/ 225958 w 593269"/>
            <a:gd name="connsiteY14" fmla="*/ 190088 h 577964"/>
            <a:gd name="connsiteX15" fmla="*/ 237752 w 593269"/>
            <a:gd name="connsiteY15" fmla="*/ 186550 h 577964"/>
            <a:gd name="connsiteX16" fmla="*/ 248265 w 593269"/>
            <a:gd name="connsiteY16" fmla="*/ 183012 h 577964"/>
            <a:gd name="connsiteX17" fmla="*/ 258637 w 593269"/>
            <a:gd name="connsiteY17" fmla="*/ 178842 h 577964"/>
            <a:gd name="connsiteX18" fmla="*/ 269009 w 593269"/>
            <a:gd name="connsiteY18" fmla="*/ 174672 h 577964"/>
            <a:gd name="connsiteX19" fmla="*/ 278983 w 593269"/>
            <a:gd name="connsiteY19" fmla="*/ 169620 h 577964"/>
            <a:gd name="connsiteX20" fmla="*/ 288981 w 593269"/>
            <a:gd name="connsiteY20" fmla="*/ 164294 h 577964"/>
            <a:gd name="connsiteX21" fmla="*/ 299736 w 593269"/>
            <a:gd name="connsiteY21" fmla="*/ 158206 h 577964"/>
            <a:gd name="connsiteX22" fmla="*/ 310506 w 593269"/>
            <a:gd name="connsiteY22" fmla="*/ 152119 h 577964"/>
            <a:gd name="connsiteX23" fmla="*/ 329174 w 593269"/>
            <a:gd name="connsiteY23" fmla="*/ 152119 h 5779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93269" h="577964">
              <a:moveTo>
                <a:pt x="296635" y="0"/>
              </a:moveTo>
              <a:cubicBezTo>
                <a:pt x="132808" y="0"/>
                <a:pt x="0" y="129382"/>
                <a:pt x="0" y="288982"/>
              </a:cubicBezTo>
              <a:cubicBezTo>
                <a:pt x="0" y="448583"/>
                <a:pt x="132808" y="577965"/>
                <a:pt x="296635" y="577965"/>
              </a:cubicBezTo>
              <a:cubicBezTo>
                <a:pt x="460462" y="577965"/>
                <a:pt x="593270" y="448583"/>
                <a:pt x="593270" y="288982"/>
              </a:cubicBezTo>
              <a:cubicBezTo>
                <a:pt x="593270" y="288972"/>
                <a:pt x="593270" y="288962"/>
                <a:pt x="593270" y="288952"/>
              </a:cubicBezTo>
              <a:cubicBezTo>
                <a:pt x="593326" y="129423"/>
                <a:pt x="460623" y="55"/>
                <a:pt x="296869" y="0"/>
              </a:cubicBezTo>
              <a:cubicBezTo>
                <a:pt x="296791" y="0"/>
                <a:pt x="296713" y="0"/>
                <a:pt x="296635" y="0"/>
              </a:cubicBezTo>
              <a:close/>
              <a:moveTo>
                <a:pt x="329174" y="411647"/>
              </a:moveTo>
              <a:lnTo>
                <a:pt x="284052" y="411647"/>
              </a:lnTo>
              <a:lnTo>
                <a:pt x="284052" y="201707"/>
              </a:lnTo>
              <a:cubicBezTo>
                <a:pt x="280241" y="204243"/>
                <a:pt x="276218" y="206686"/>
                <a:pt x="271985" y="209035"/>
              </a:cubicBezTo>
              <a:cubicBezTo>
                <a:pt x="267754" y="211391"/>
                <a:pt x="263383" y="213499"/>
                <a:pt x="258895" y="215350"/>
              </a:cubicBezTo>
              <a:cubicBezTo>
                <a:pt x="254042" y="217207"/>
                <a:pt x="248942" y="218934"/>
                <a:pt x="243594" y="220532"/>
              </a:cubicBezTo>
              <a:cubicBezTo>
                <a:pt x="238246" y="222130"/>
                <a:pt x="232368" y="223687"/>
                <a:pt x="225958" y="225204"/>
              </a:cubicBezTo>
              <a:lnTo>
                <a:pt x="225958" y="190088"/>
              </a:lnTo>
              <a:cubicBezTo>
                <a:pt x="230279" y="188906"/>
                <a:pt x="234211" y="187727"/>
                <a:pt x="237752" y="186550"/>
              </a:cubicBezTo>
              <a:cubicBezTo>
                <a:pt x="241292" y="185373"/>
                <a:pt x="244797" y="184193"/>
                <a:pt x="248265" y="183012"/>
              </a:cubicBezTo>
              <a:cubicBezTo>
                <a:pt x="251709" y="181665"/>
                <a:pt x="255177" y="180280"/>
                <a:pt x="258637" y="178842"/>
              </a:cubicBezTo>
              <a:cubicBezTo>
                <a:pt x="262097" y="177404"/>
                <a:pt x="265549" y="176027"/>
                <a:pt x="269009" y="174672"/>
              </a:cubicBezTo>
              <a:cubicBezTo>
                <a:pt x="272290" y="172988"/>
                <a:pt x="275615" y="171304"/>
                <a:pt x="278983" y="169620"/>
              </a:cubicBezTo>
              <a:cubicBezTo>
                <a:pt x="282352" y="167936"/>
                <a:pt x="285685" y="166160"/>
                <a:pt x="288981" y="164294"/>
              </a:cubicBezTo>
              <a:cubicBezTo>
                <a:pt x="292626" y="162447"/>
                <a:pt x="296211" y="160418"/>
                <a:pt x="299736" y="158206"/>
              </a:cubicBezTo>
              <a:cubicBezTo>
                <a:pt x="303261" y="155994"/>
                <a:pt x="306851" y="153966"/>
                <a:pt x="310506" y="152119"/>
              </a:cubicBezTo>
              <a:lnTo>
                <a:pt x="329174" y="152119"/>
              </a:lnTo>
              <a:close/>
            </a:path>
          </a:pathLst>
        </a:custGeom>
        <a:solidFill>
          <a:schemeClr val="tx1">
            <a:lumMod val="65000"/>
            <a:lumOff val="35000"/>
          </a:schemeClr>
        </a:solidFill>
        <a:ln w="7739" cap="flat">
          <a:noFill/>
          <a:prstDash val="solid"/>
          <a:miter/>
        </a:ln>
      </xdr:spPr>
      <xdr:txBody>
        <a:bodyPr rtlCol="0" anchor="ctr"/>
        <a:lstStyle/>
        <a:p>
          <a:endParaRPr lang="en-US"/>
        </a:p>
      </xdr:txBody>
    </xdr:sp>
    <xdr:clientData/>
  </xdr:twoCellAnchor>
  <xdr:twoCellAnchor>
    <xdr:from>
      <xdr:col>14</xdr:col>
      <xdr:colOff>6351</xdr:colOff>
      <xdr:row>0</xdr:row>
      <xdr:rowOff>190500</xdr:rowOff>
    </xdr:from>
    <xdr:to>
      <xdr:col>23</xdr:col>
      <xdr:colOff>47626</xdr:colOff>
      <xdr:row>2</xdr:row>
      <xdr:rowOff>0</xdr:rowOff>
    </xdr:to>
    <xdr:sp macro="" textlink="">
      <xdr:nvSpPr>
        <xdr:cNvPr id="5" name="Rectangle: Rounded Corners 13">
          <a:extLst>
            <a:ext uri="{FF2B5EF4-FFF2-40B4-BE49-F238E27FC236}">
              <a16:creationId xmlns:a16="http://schemas.microsoft.com/office/drawing/2014/main" id="{2C297674-0677-44B7-88B4-C1FBC633DD08}"/>
            </a:ext>
          </a:extLst>
        </xdr:cNvPr>
        <xdr:cNvSpPr/>
      </xdr:nvSpPr>
      <xdr:spPr>
        <a:xfrm>
          <a:off x="13627101" y="190500"/>
          <a:ext cx="11957050" cy="1400175"/>
        </a:xfrm>
        <a:prstGeom prst="roundRect">
          <a:avLst/>
        </a:prstGeom>
        <a:gradFill>
          <a:gsLst>
            <a:gs pos="0">
              <a:srgbClr val="F3F3F5"/>
            </a:gs>
            <a:gs pos="100000">
              <a:srgbClr val="B8DCD2"/>
            </a:gs>
            <a:gs pos="44000">
              <a:srgbClr val="B8DCD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kern="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765174</xdr:colOff>
      <xdr:row>0</xdr:row>
      <xdr:rowOff>135342</xdr:rowOff>
    </xdr:from>
    <xdr:to>
      <xdr:col>6</xdr:col>
      <xdr:colOff>355351</xdr:colOff>
      <xdr:row>1</xdr:row>
      <xdr:rowOff>1264586</xdr:rowOff>
    </xdr:to>
    <xdr:pic>
      <xdr:nvPicPr>
        <xdr:cNvPr id="6" name="Picture 16" descr="A purple and orange curved line&#10;&#10;AI-generated content may be incorrect.">
          <a:extLst>
            <a:ext uri="{FF2B5EF4-FFF2-40B4-BE49-F238E27FC236}">
              <a16:creationId xmlns:a16="http://schemas.microsoft.com/office/drawing/2014/main" id="{1B9455C2-FA21-4730-BC7A-654C02CC7D8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386" t="15328" r="10104" b="9778"/>
        <a:stretch/>
      </xdr:blipFill>
      <xdr:spPr>
        <a:xfrm>
          <a:off x="5613399" y="135342"/>
          <a:ext cx="1852894" cy="1399119"/>
        </a:xfrm>
        <a:prstGeom prst="rect">
          <a:avLst/>
        </a:prstGeom>
      </xdr:spPr>
    </xdr:pic>
    <xdr:clientData/>
  </xdr:twoCellAnchor>
  <xdr:twoCellAnchor editAs="oneCell">
    <xdr:from>
      <xdr:col>9</xdr:col>
      <xdr:colOff>459440</xdr:colOff>
      <xdr:row>0</xdr:row>
      <xdr:rowOff>133848</xdr:rowOff>
    </xdr:from>
    <xdr:to>
      <xdr:col>13</xdr:col>
      <xdr:colOff>380999</xdr:colOff>
      <xdr:row>1</xdr:row>
      <xdr:rowOff>1227667</xdr:rowOff>
    </xdr:to>
    <xdr:pic>
      <xdr:nvPicPr>
        <xdr:cNvPr id="7" name="Picture 6" descr="A purple and yellow background with circles&#10;&#10;AI-generated content may be incorrect.">
          <a:extLst>
            <a:ext uri="{FF2B5EF4-FFF2-40B4-BE49-F238E27FC236}">
              <a16:creationId xmlns:a16="http://schemas.microsoft.com/office/drawing/2014/main" id="{EC229BBC-F3A3-492D-88EC-DE0FE8C4A47D}"/>
            </a:ext>
          </a:extLst>
        </xdr:cNvPr>
        <xdr:cNvPicPr>
          <a:picLocks noChangeAspect="1"/>
        </xdr:cNvPicPr>
      </xdr:nvPicPr>
      <xdr:blipFill rotWithShape="1">
        <a:blip xmlns:r="http://schemas.openxmlformats.org/officeDocument/2006/relationships" r:embed="rId3"/>
        <a:srcRect l="4557" t="3468"/>
        <a:stretch/>
      </xdr:blipFill>
      <xdr:spPr>
        <a:xfrm>
          <a:off x="10524190" y="133848"/>
          <a:ext cx="2630892" cy="1358402"/>
        </a:xfrm>
        <a:prstGeom prst="rect">
          <a:avLst/>
        </a:prstGeom>
      </xdr:spPr>
    </xdr:pic>
    <xdr:clientData/>
  </xdr:twoCellAnchor>
  <xdr:twoCellAnchor>
    <xdr:from>
      <xdr:col>2</xdr:col>
      <xdr:colOff>2016125</xdr:colOff>
      <xdr:row>1</xdr:row>
      <xdr:rowOff>254000</xdr:rowOff>
    </xdr:from>
    <xdr:to>
      <xdr:col>10</xdr:col>
      <xdr:colOff>333375</xdr:colOff>
      <xdr:row>1</xdr:row>
      <xdr:rowOff>768350</xdr:rowOff>
    </xdr:to>
    <xdr:sp macro="" textlink="">
      <xdr:nvSpPr>
        <xdr:cNvPr id="8" name="TextBox 17">
          <a:extLst>
            <a:ext uri="{FF2B5EF4-FFF2-40B4-BE49-F238E27FC236}">
              <a16:creationId xmlns:a16="http://schemas.microsoft.com/office/drawing/2014/main" id="{EB5520BE-5FB9-4469-9854-01199EC7FBDD}"/>
            </a:ext>
          </a:extLst>
        </xdr:cNvPr>
        <xdr:cNvSpPr txBox="1"/>
      </xdr:nvSpPr>
      <xdr:spPr>
        <a:xfrm>
          <a:off x="2787650" y="520700"/>
          <a:ext cx="78803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a:solidFill>
                <a:schemeClr val="tx1">
                  <a:lumMod val="85000"/>
                  <a:lumOff val="15000"/>
                </a:schemeClr>
              </a:solidFill>
              <a:effectLst/>
              <a:latin typeface="Segoe UI Semibold" panose="020B0702040204020203" pitchFamily="34" charset="0"/>
              <a:ea typeface="+mn-ea"/>
              <a:cs typeface="Segoe UI Semibold" panose="020B0702040204020203" pitchFamily="34" charset="0"/>
            </a:rPr>
            <a:t>Identify your M365 Copilot users</a:t>
          </a:r>
          <a:endParaRPr lang="en-US" sz="2800">
            <a:solidFill>
              <a:schemeClr val="tx1">
                <a:lumMod val="85000"/>
                <a:lumOff val="1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editAs="oneCell">
    <xdr:from>
      <xdr:col>18</xdr:col>
      <xdr:colOff>3601943</xdr:colOff>
      <xdr:row>0</xdr:row>
      <xdr:rowOff>163143</xdr:rowOff>
    </xdr:from>
    <xdr:to>
      <xdr:col>18</xdr:col>
      <xdr:colOff>5381998</xdr:colOff>
      <xdr:row>1</xdr:row>
      <xdr:rowOff>1229472</xdr:rowOff>
    </xdr:to>
    <xdr:pic>
      <xdr:nvPicPr>
        <xdr:cNvPr id="9" name="Picture 25" descr="A colorful circle with a yellow and blue design&#10;&#10;AI-generated content may be incorrect.">
          <a:extLst>
            <a:ext uri="{FF2B5EF4-FFF2-40B4-BE49-F238E27FC236}">
              <a16:creationId xmlns:a16="http://schemas.microsoft.com/office/drawing/2014/main" id="{EEE13F4E-F537-4D31-9889-29EF425A460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659" t="12024" r="10117" b="4690"/>
        <a:stretch/>
      </xdr:blipFill>
      <xdr:spPr>
        <a:xfrm>
          <a:off x="18089468" y="163143"/>
          <a:ext cx="1776880" cy="1329854"/>
        </a:xfrm>
        <a:prstGeom prst="rect">
          <a:avLst/>
        </a:prstGeom>
      </xdr:spPr>
    </xdr:pic>
    <xdr:clientData/>
  </xdr:twoCellAnchor>
  <xdr:twoCellAnchor editAs="oneCell">
    <xdr:from>
      <xdr:col>14</xdr:col>
      <xdr:colOff>513415</xdr:colOff>
      <xdr:row>0</xdr:row>
      <xdr:rowOff>38099</xdr:rowOff>
    </xdr:from>
    <xdr:to>
      <xdr:col>18</xdr:col>
      <xdr:colOff>268941</xdr:colOff>
      <xdr:row>2</xdr:row>
      <xdr:rowOff>30442</xdr:rowOff>
    </xdr:to>
    <xdr:pic>
      <xdr:nvPicPr>
        <xdr:cNvPr id="10" name="Picture 27" descr="A colorful circle with dots&#10;&#10;AI-generated content may be incorrect.">
          <a:extLst>
            <a:ext uri="{FF2B5EF4-FFF2-40B4-BE49-F238E27FC236}">
              <a16:creationId xmlns:a16="http://schemas.microsoft.com/office/drawing/2014/main" id="{807A8F6F-4E3E-4041-BC8B-CE452FB049A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853" t="2956" r="26920" b="5593"/>
        <a:stretch/>
      </xdr:blipFill>
      <xdr:spPr>
        <a:xfrm>
          <a:off x="13191190" y="38099"/>
          <a:ext cx="1565276" cy="1586193"/>
        </a:xfrm>
        <a:prstGeom prst="ellipse">
          <a:avLst/>
        </a:prstGeom>
      </xdr:spPr>
    </xdr:pic>
    <xdr:clientData/>
  </xdr:twoCellAnchor>
  <xdr:twoCellAnchor editAs="oneCell">
    <xdr:from>
      <xdr:col>20</xdr:col>
      <xdr:colOff>188818</xdr:colOff>
      <xdr:row>0</xdr:row>
      <xdr:rowOff>179293</xdr:rowOff>
    </xdr:from>
    <xdr:to>
      <xdr:col>22</xdr:col>
      <xdr:colOff>647885</xdr:colOff>
      <xdr:row>1</xdr:row>
      <xdr:rowOff>1231210</xdr:rowOff>
    </xdr:to>
    <xdr:pic>
      <xdr:nvPicPr>
        <xdr:cNvPr id="11" name="Picture 29" descr="A colorful curved lines and dots&#10;&#10;AI-generated content may be incorrect.">
          <a:extLst>
            <a:ext uri="{FF2B5EF4-FFF2-40B4-BE49-F238E27FC236}">
              <a16:creationId xmlns:a16="http://schemas.microsoft.com/office/drawing/2014/main" id="{97E8AB4D-8B44-4029-9F04-5E172FDB4ED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734368" y="179293"/>
          <a:ext cx="2268817" cy="1315442"/>
        </a:xfrm>
        <a:prstGeom prst="rect">
          <a:avLst/>
        </a:prstGeom>
      </xdr:spPr>
    </xdr:pic>
    <xdr:clientData/>
  </xdr:twoCellAnchor>
  <xdr:twoCellAnchor>
    <xdr:from>
      <xdr:col>18</xdr:col>
      <xdr:colOff>171452</xdr:colOff>
      <xdr:row>0</xdr:row>
      <xdr:rowOff>245969</xdr:rowOff>
    </xdr:from>
    <xdr:to>
      <xdr:col>22</xdr:col>
      <xdr:colOff>616325</xdr:colOff>
      <xdr:row>1</xdr:row>
      <xdr:rowOff>1103219</xdr:rowOff>
    </xdr:to>
    <xdr:sp macro="" textlink="">
      <xdr:nvSpPr>
        <xdr:cNvPr id="12" name="TextBox 17">
          <a:extLst>
            <a:ext uri="{FF2B5EF4-FFF2-40B4-BE49-F238E27FC236}">
              <a16:creationId xmlns:a16="http://schemas.microsoft.com/office/drawing/2014/main" id="{88910DBB-EDE6-4BC6-B73A-174CC440C969}"/>
            </a:ext>
          </a:extLst>
        </xdr:cNvPr>
        <xdr:cNvSpPr txBox="1"/>
      </xdr:nvSpPr>
      <xdr:spPr>
        <a:xfrm>
          <a:off x="14658977" y="245969"/>
          <a:ext cx="9141198"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a:solidFill>
                <a:schemeClr val="tx1">
                  <a:lumMod val="85000"/>
                  <a:lumOff val="15000"/>
                </a:schemeClr>
              </a:solidFill>
              <a:effectLst/>
              <a:latin typeface="Segoe UI Semibold" panose="020B0702040204020203" pitchFamily="34" charset="0"/>
              <a:ea typeface="+mn-ea"/>
              <a:cs typeface="Segoe UI Semibold" panose="020B0702040204020203" pitchFamily="34" charset="0"/>
            </a:rPr>
            <a:t>Estimate agent consumption needs for Copilot Chat users</a:t>
          </a:r>
          <a:endParaRPr lang="en-US" sz="2800">
            <a:solidFill>
              <a:schemeClr val="tx1">
                <a:lumMod val="85000"/>
                <a:lumOff val="1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16</xdr:col>
      <xdr:colOff>208931</xdr:colOff>
      <xdr:row>1</xdr:row>
      <xdr:rowOff>252660</xdr:rowOff>
    </xdr:from>
    <xdr:to>
      <xdr:col>17</xdr:col>
      <xdr:colOff>204880</xdr:colOff>
      <xdr:row>1</xdr:row>
      <xdr:rowOff>840441</xdr:rowOff>
    </xdr:to>
    <xdr:sp macro="" textlink="">
      <xdr:nvSpPr>
        <xdr:cNvPr id="13" name="Graphic 30" descr="Badge with solid fill">
          <a:extLst>
            <a:ext uri="{FF2B5EF4-FFF2-40B4-BE49-F238E27FC236}">
              <a16:creationId xmlns:a16="http://schemas.microsoft.com/office/drawing/2014/main" id="{77C2E84C-C023-4D56-ACC9-C2E0A1496DA8}"/>
            </a:ext>
          </a:extLst>
        </xdr:cNvPr>
        <xdr:cNvSpPr/>
      </xdr:nvSpPr>
      <xdr:spPr>
        <a:xfrm>
          <a:off x="13677281" y="519360"/>
          <a:ext cx="576974" cy="587781"/>
        </a:xfrm>
        <a:custGeom>
          <a:avLst/>
          <a:gdLst>
            <a:gd name="connsiteX0" fmla="*/ 356321 w 712642"/>
            <a:gd name="connsiteY0" fmla="*/ 0 h 663685"/>
            <a:gd name="connsiteX1" fmla="*/ 0 w 712642"/>
            <a:gd name="connsiteY1" fmla="*/ 331843 h 663685"/>
            <a:gd name="connsiteX2" fmla="*/ 356321 w 712642"/>
            <a:gd name="connsiteY2" fmla="*/ 663685 h 663685"/>
            <a:gd name="connsiteX3" fmla="*/ 712643 w 712642"/>
            <a:gd name="connsiteY3" fmla="*/ 331843 h 663685"/>
            <a:gd name="connsiteX4" fmla="*/ 712643 w 712642"/>
            <a:gd name="connsiteY4" fmla="*/ 331817 h 663685"/>
            <a:gd name="connsiteX5" fmla="*/ 356593 w 712642"/>
            <a:gd name="connsiteY5" fmla="*/ 0 h 663685"/>
            <a:gd name="connsiteX6" fmla="*/ 356321 w 712642"/>
            <a:gd name="connsiteY6" fmla="*/ 0 h 663685"/>
            <a:gd name="connsiteX7" fmla="*/ 458192 w 712642"/>
            <a:gd name="connsiteY7" fmla="*/ 480643 h 663685"/>
            <a:gd name="connsiteX8" fmla="*/ 254460 w 712642"/>
            <a:gd name="connsiteY8" fmla="*/ 480643 h 663685"/>
            <a:gd name="connsiteX9" fmla="*/ 254460 w 712642"/>
            <a:gd name="connsiteY9" fmla="*/ 452796 h 663685"/>
            <a:gd name="connsiteX10" fmla="*/ 261309 w 712642"/>
            <a:gd name="connsiteY10" fmla="*/ 418720 h 663685"/>
            <a:gd name="connsiteX11" fmla="*/ 280148 w 712642"/>
            <a:gd name="connsiteY11" fmla="*/ 390760 h 663685"/>
            <a:gd name="connsiteX12" fmla="*/ 308041 w 712642"/>
            <a:gd name="connsiteY12" fmla="*/ 366976 h 663685"/>
            <a:gd name="connsiteX13" fmla="*/ 342305 w 712642"/>
            <a:gd name="connsiteY13" fmla="*/ 345508 h 663685"/>
            <a:gd name="connsiteX14" fmla="*/ 371389 w 712642"/>
            <a:gd name="connsiteY14" fmla="*/ 326067 h 663685"/>
            <a:gd name="connsiteX15" fmla="*/ 389487 w 712642"/>
            <a:gd name="connsiteY15" fmla="*/ 307561 h 663685"/>
            <a:gd name="connsiteX16" fmla="*/ 398691 w 712642"/>
            <a:gd name="connsiteY16" fmla="*/ 288845 h 663685"/>
            <a:gd name="connsiteX17" fmla="*/ 401177 w 712642"/>
            <a:gd name="connsiteY17" fmla="*/ 267954 h 663685"/>
            <a:gd name="connsiteX18" fmla="*/ 398062 w 712642"/>
            <a:gd name="connsiteY18" fmla="*/ 249972 h 663685"/>
            <a:gd name="connsiteX19" fmla="*/ 388868 w 712642"/>
            <a:gd name="connsiteY19" fmla="*/ 234743 h 663685"/>
            <a:gd name="connsiteX20" fmla="*/ 373294 w 712642"/>
            <a:gd name="connsiteY20" fmla="*/ 224257 h 663685"/>
            <a:gd name="connsiteX21" fmla="*/ 351340 w 712642"/>
            <a:gd name="connsiteY21" fmla="*/ 220343 h 663685"/>
            <a:gd name="connsiteX22" fmla="*/ 308970 w 712642"/>
            <a:gd name="connsiteY22" fmla="*/ 229631 h 663685"/>
            <a:gd name="connsiteX23" fmla="*/ 271282 w 712642"/>
            <a:gd name="connsiteY23" fmla="*/ 254577 h 663685"/>
            <a:gd name="connsiteX24" fmla="*/ 271282 w 712642"/>
            <a:gd name="connsiteY24" fmla="*/ 209316 h 663685"/>
            <a:gd name="connsiteX25" fmla="*/ 309120 w 712642"/>
            <a:gd name="connsiteY25" fmla="*/ 189010 h 663685"/>
            <a:gd name="connsiteX26" fmla="*/ 356031 w 712642"/>
            <a:gd name="connsiteY26" fmla="*/ 182894 h 663685"/>
            <a:gd name="connsiteX27" fmla="*/ 393409 w 712642"/>
            <a:gd name="connsiteY27" fmla="*/ 188137 h 663685"/>
            <a:gd name="connsiteX28" fmla="*/ 423938 w 712642"/>
            <a:gd name="connsiteY28" fmla="*/ 203366 h 663685"/>
            <a:gd name="connsiteX29" fmla="*/ 444503 w 712642"/>
            <a:gd name="connsiteY29" fmla="*/ 228312 h 663685"/>
            <a:gd name="connsiteX30" fmla="*/ 452009 w 712642"/>
            <a:gd name="connsiteY30" fmla="*/ 262388 h 663685"/>
            <a:gd name="connsiteX31" fmla="*/ 448097 w 712642"/>
            <a:gd name="connsiteY31" fmla="*/ 293712 h 663685"/>
            <a:gd name="connsiteX32" fmla="*/ 435262 w 712642"/>
            <a:gd name="connsiteY32" fmla="*/ 320790 h 663685"/>
            <a:gd name="connsiteX33" fmla="*/ 412070 w 712642"/>
            <a:gd name="connsiteY33" fmla="*/ 345456 h 663685"/>
            <a:gd name="connsiteX34" fmla="*/ 377178 w 712642"/>
            <a:gd name="connsiteY34" fmla="*/ 369528 h 663685"/>
            <a:gd name="connsiteX35" fmla="*/ 347268 w 712642"/>
            <a:gd name="connsiteY35" fmla="*/ 387807 h 663685"/>
            <a:gd name="connsiteX36" fmla="*/ 324985 w 712642"/>
            <a:gd name="connsiteY36" fmla="*/ 404487 h 663685"/>
            <a:gd name="connsiteX37" fmla="*/ 311137 w 712642"/>
            <a:gd name="connsiteY37" fmla="*/ 421603 h 663685"/>
            <a:gd name="connsiteX38" fmla="*/ 306446 w 712642"/>
            <a:gd name="connsiteY38" fmla="*/ 441193 h 663685"/>
            <a:gd name="connsiteX39" fmla="*/ 458154 w 712642"/>
            <a:gd name="connsiteY39" fmla="*/ 441193 h 6636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Lst>
          <a:rect l="l" t="t" r="r" b="b"/>
          <a:pathLst>
            <a:path w="712642" h="663685">
              <a:moveTo>
                <a:pt x="356321" y="0"/>
              </a:moveTo>
              <a:cubicBezTo>
                <a:pt x="159531" y="0"/>
                <a:pt x="0" y="148571"/>
                <a:pt x="0" y="331843"/>
              </a:cubicBezTo>
              <a:cubicBezTo>
                <a:pt x="0" y="515114"/>
                <a:pt x="159531" y="663685"/>
                <a:pt x="356321" y="663685"/>
              </a:cubicBezTo>
              <a:cubicBezTo>
                <a:pt x="553112" y="663685"/>
                <a:pt x="712643" y="515114"/>
                <a:pt x="712643" y="331843"/>
              </a:cubicBezTo>
              <a:cubicBezTo>
                <a:pt x="712643" y="331834"/>
                <a:pt x="712643" y="331825"/>
                <a:pt x="712643" y="331817"/>
              </a:cubicBezTo>
              <a:cubicBezTo>
                <a:pt x="712710" y="148622"/>
                <a:pt x="553302" y="63"/>
                <a:pt x="356593" y="0"/>
              </a:cubicBezTo>
              <a:cubicBezTo>
                <a:pt x="356502" y="0"/>
                <a:pt x="356412" y="0"/>
                <a:pt x="356321" y="0"/>
              </a:cubicBezTo>
              <a:close/>
              <a:moveTo>
                <a:pt x="458192" y="480643"/>
              </a:moveTo>
              <a:lnTo>
                <a:pt x="254460" y="480643"/>
              </a:lnTo>
              <a:lnTo>
                <a:pt x="254460" y="452796"/>
              </a:lnTo>
              <a:cubicBezTo>
                <a:pt x="254275" y="441126"/>
                <a:pt x="256603" y="429538"/>
                <a:pt x="261309" y="418720"/>
              </a:cubicBezTo>
              <a:cubicBezTo>
                <a:pt x="265921" y="408511"/>
                <a:pt x="272283" y="399068"/>
                <a:pt x="280148" y="390760"/>
              </a:cubicBezTo>
              <a:cubicBezTo>
                <a:pt x="288518" y="381938"/>
                <a:pt x="297868" y="373965"/>
                <a:pt x="308041" y="366976"/>
              </a:cubicBezTo>
              <a:cubicBezTo>
                <a:pt x="318636" y="359631"/>
                <a:pt x="330058" y="352475"/>
                <a:pt x="342305" y="345508"/>
              </a:cubicBezTo>
              <a:cubicBezTo>
                <a:pt x="352560" y="339789"/>
                <a:pt x="362288" y="333286"/>
                <a:pt x="371389" y="326067"/>
              </a:cubicBezTo>
              <a:cubicBezTo>
                <a:pt x="378231" y="320630"/>
                <a:pt x="384312" y="314412"/>
                <a:pt x="389487" y="307561"/>
              </a:cubicBezTo>
              <a:cubicBezTo>
                <a:pt x="393746" y="301893"/>
                <a:pt x="396865" y="295551"/>
                <a:pt x="398691" y="288845"/>
              </a:cubicBezTo>
              <a:cubicBezTo>
                <a:pt x="400402" y="281998"/>
                <a:pt x="401237" y="274985"/>
                <a:pt x="401177" y="267954"/>
              </a:cubicBezTo>
              <a:cubicBezTo>
                <a:pt x="401188" y="261843"/>
                <a:pt x="400137" y="255770"/>
                <a:pt x="398062" y="249972"/>
              </a:cubicBezTo>
              <a:cubicBezTo>
                <a:pt x="396109" y="244379"/>
                <a:pt x="392984" y="239203"/>
                <a:pt x="388868" y="234743"/>
              </a:cubicBezTo>
              <a:cubicBezTo>
                <a:pt x="384579" y="230211"/>
                <a:pt x="379259" y="226629"/>
                <a:pt x="373294" y="224257"/>
              </a:cubicBezTo>
              <a:cubicBezTo>
                <a:pt x="366351" y="221536"/>
                <a:pt x="358871" y="220202"/>
                <a:pt x="351340" y="220343"/>
              </a:cubicBezTo>
              <a:cubicBezTo>
                <a:pt x="336628" y="220292"/>
                <a:pt x="322112" y="223474"/>
                <a:pt x="308970" y="229631"/>
              </a:cubicBezTo>
              <a:cubicBezTo>
                <a:pt x="295150" y="236162"/>
                <a:pt x="282449" y="244569"/>
                <a:pt x="271282" y="254577"/>
              </a:cubicBezTo>
              <a:lnTo>
                <a:pt x="271282" y="209316"/>
              </a:lnTo>
              <a:cubicBezTo>
                <a:pt x="282073" y="199956"/>
                <a:pt x="295013" y="193010"/>
                <a:pt x="309120" y="189010"/>
              </a:cubicBezTo>
              <a:cubicBezTo>
                <a:pt x="324343" y="184807"/>
                <a:pt x="340154" y="182745"/>
                <a:pt x="356031" y="182894"/>
              </a:cubicBezTo>
              <a:cubicBezTo>
                <a:pt x="368708" y="182812"/>
                <a:pt x="381320" y="184581"/>
                <a:pt x="393409" y="188137"/>
              </a:cubicBezTo>
              <a:cubicBezTo>
                <a:pt x="404532" y="191360"/>
                <a:pt x="414894" y="196529"/>
                <a:pt x="423938" y="203366"/>
              </a:cubicBezTo>
              <a:cubicBezTo>
                <a:pt x="432732" y="210125"/>
                <a:pt x="439764" y="218654"/>
                <a:pt x="444503" y="228312"/>
              </a:cubicBezTo>
              <a:cubicBezTo>
                <a:pt x="449664" y="239019"/>
                <a:pt x="452226" y="250654"/>
                <a:pt x="452009" y="262388"/>
              </a:cubicBezTo>
              <a:cubicBezTo>
                <a:pt x="452119" y="272941"/>
                <a:pt x="450804" y="283465"/>
                <a:pt x="448097" y="293712"/>
              </a:cubicBezTo>
              <a:cubicBezTo>
                <a:pt x="445443" y="303333"/>
                <a:pt x="441108" y="312481"/>
                <a:pt x="435262" y="320790"/>
              </a:cubicBezTo>
              <a:cubicBezTo>
                <a:pt x="428746" y="329937"/>
                <a:pt x="420946" y="338232"/>
                <a:pt x="412070" y="345456"/>
              </a:cubicBezTo>
              <a:cubicBezTo>
                <a:pt x="401143" y="354330"/>
                <a:pt x="389476" y="362379"/>
                <a:pt x="377178" y="369528"/>
              </a:cubicBezTo>
              <a:cubicBezTo>
                <a:pt x="365957" y="376110"/>
                <a:pt x="355986" y="382203"/>
                <a:pt x="347268" y="387807"/>
              </a:cubicBezTo>
              <a:cubicBezTo>
                <a:pt x="339370" y="392799"/>
                <a:pt x="331919" y="398377"/>
                <a:pt x="324985" y="404487"/>
              </a:cubicBezTo>
              <a:cubicBezTo>
                <a:pt x="319347" y="409408"/>
                <a:pt x="314662" y="415199"/>
                <a:pt x="311137" y="421603"/>
              </a:cubicBezTo>
              <a:cubicBezTo>
                <a:pt x="307967" y="427707"/>
                <a:pt x="306362" y="434413"/>
                <a:pt x="306446" y="441193"/>
              </a:cubicBezTo>
              <a:lnTo>
                <a:pt x="458154" y="441193"/>
              </a:lnTo>
              <a:close/>
            </a:path>
          </a:pathLst>
        </a:custGeom>
        <a:solidFill>
          <a:schemeClr val="tx1">
            <a:lumMod val="65000"/>
            <a:lumOff val="35000"/>
          </a:schemeClr>
        </a:solidFill>
        <a:ln w="9327" cap="flat">
          <a:noFill/>
          <a:prstDash val="solid"/>
          <a:miter/>
        </a:ln>
      </xdr:spPr>
      <xdr:txBody>
        <a:bodyPr rtlCol="0" anchor="ctr"/>
        <a:lstStyle/>
        <a:p>
          <a:endParaRPr lang="en-US"/>
        </a:p>
      </xdr:txBody>
    </xdr:sp>
    <xdr:clientData/>
  </xdr:twoCellAnchor>
  <xdr:twoCellAnchor>
    <xdr:from>
      <xdr:col>23</xdr:col>
      <xdr:colOff>63501</xdr:colOff>
      <xdr:row>0</xdr:row>
      <xdr:rowOff>196850</xdr:rowOff>
    </xdr:from>
    <xdr:to>
      <xdr:col>36</xdr:col>
      <xdr:colOff>705972</xdr:colOff>
      <xdr:row>2</xdr:row>
      <xdr:rowOff>6350</xdr:rowOff>
    </xdr:to>
    <xdr:sp macro="" textlink="">
      <xdr:nvSpPr>
        <xdr:cNvPr id="14" name="Rectangle: Rounded Corners 32">
          <a:extLst>
            <a:ext uri="{FF2B5EF4-FFF2-40B4-BE49-F238E27FC236}">
              <a16:creationId xmlns:a16="http://schemas.microsoft.com/office/drawing/2014/main" id="{35244FA9-03B9-44E0-BC3A-5911FFEBBD34}"/>
            </a:ext>
          </a:extLst>
        </xdr:cNvPr>
        <xdr:cNvSpPr/>
      </xdr:nvSpPr>
      <xdr:spPr>
        <a:xfrm>
          <a:off x="24114126" y="196850"/>
          <a:ext cx="13520271" cy="1400175"/>
        </a:xfrm>
        <a:prstGeom prst="roundRect">
          <a:avLst/>
        </a:prstGeom>
        <a:gradFill>
          <a:gsLst>
            <a:gs pos="0">
              <a:srgbClr val="F3F3F5"/>
            </a:gs>
            <a:gs pos="100000">
              <a:srgbClr val="F39A8E"/>
            </a:gs>
            <a:gs pos="64000">
              <a:srgbClr val="F39A8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kern="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24</xdr:col>
      <xdr:colOff>257734</xdr:colOff>
      <xdr:row>0</xdr:row>
      <xdr:rowOff>64061</xdr:rowOff>
    </xdr:from>
    <xdr:to>
      <xdr:col>26</xdr:col>
      <xdr:colOff>952499</xdr:colOff>
      <xdr:row>2</xdr:row>
      <xdr:rowOff>104028</xdr:rowOff>
    </xdr:to>
    <xdr:pic>
      <xdr:nvPicPr>
        <xdr:cNvPr id="15" name="Picture 35" descr="A colorful circle with a white background&#10;&#10;AI-generated content may be incorrect.">
          <a:extLst>
            <a:ext uri="{FF2B5EF4-FFF2-40B4-BE49-F238E27FC236}">
              <a16:creationId xmlns:a16="http://schemas.microsoft.com/office/drawing/2014/main" id="{6EFADFF6-B43A-47E1-A642-9FA2604A6EE1}"/>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colorTemperature colorTemp="7200"/>
                  </a14:imgEffect>
                </a14:imgLayer>
              </a14:imgProps>
            </a:ext>
            <a:ext uri="{28A0092B-C50C-407E-A947-70E740481C1C}">
              <a14:useLocalDpi xmlns:a14="http://schemas.microsoft.com/office/drawing/2010/main" val="0"/>
            </a:ext>
          </a:extLst>
        </a:blip>
        <a:srcRect l="35505" t="3632" r="3487" b="5643"/>
        <a:stretch/>
      </xdr:blipFill>
      <xdr:spPr>
        <a:xfrm>
          <a:off x="25041784" y="64061"/>
          <a:ext cx="1609165" cy="1633817"/>
        </a:xfrm>
        <a:prstGeom prst="ellipse">
          <a:avLst/>
        </a:prstGeom>
      </xdr:spPr>
    </xdr:pic>
    <xdr:clientData/>
  </xdr:twoCellAnchor>
  <xdr:twoCellAnchor>
    <xdr:from>
      <xdr:col>25</xdr:col>
      <xdr:colOff>140944</xdr:colOff>
      <xdr:row>1</xdr:row>
      <xdr:rowOff>306602</xdr:rowOff>
    </xdr:from>
    <xdr:to>
      <xdr:col>26</xdr:col>
      <xdr:colOff>431016</xdr:colOff>
      <xdr:row>1</xdr:row>
      <xdr:rowOff>899813</xdr:rowOff>
    </xdr:to>
    <xdr:sp macro="" textlink="">
      <xdr:nvSpPr>
        <xdr:cNvPr id="16" name="Graphic 31" descr="Badge 3 with solid fill">
          <a:extLst>
            <a:ext uri="{FF2B5EF4-FFF2-40B4-BE49-F238E27FC236}">
              <a16:creationId xmlns:a16="http://schemas.microsoft.com/office/drawing/2014/main" id="{C63373F3-EF69-421E-847D-84722CD258A5}"/>
            </a:ext>
          </a:extLst>
        </xdr:cNvPr>
        <xdr:cNvSpPr/>
      </xdr:nvSpPr>
      <xdr:spPr>
        <a:xfrm>
          <a:off x="25534594" y="573302"/>
          <a:ext cx="594872" cy="593211"/>
        </a:xfrm>
        <a:custGeom>
          <a:avLst/>
          <a:gdLst>
            <a:gd name="connsiteX0" fmla="*/ 296651 w 593285"/>
            <a:gd name="connsiteY0" fmla="*/ 0 h 593211"/>
            <a:gd name="connsiteX1" fmla="*/ 0 w 593285"/>
            <a:gd name="connsiteY1" fmla="*/ 296598 h 593211"/>
            <a:gd name="connsiteX2" fmla="*/ 296635 w 593285"/>
            <a:gd name="connsiteY2" fmla="*/ 593211 h 593211"/>
            <a:gd name="connsiteX3" fmla="*/ 593286 w 593285"/>
            <a:gd name="connsiteY3" fmla="*/ 296613 h 593211"/>
            <a:gd name="connsiteX4" fmla="*/ 593286 w 593285"/>
            <a:gd name="connsiteY4" fmla="*/ 296582 h 593211"/>
            <a:gd name="connsiteX5" fmla="*/ 296885 w 593285"/>
            <a:gd name="connsiteY5" fmla="*/ 0 h 593211"/>
            <a:gd name="connsiteX6" fmla="*/ 296651 w 593285"/>
            <a:gd name="connsiteY6" fmla="*/ 0 h 593211"/>
            <a:gd name="connsiteX7" fmla="*/ 375131 w 593285"/>
            <a:gd name="connsiteY7" fmla="*/ 386821 h 593211"/>
            <a:gd name="connsiteX8" fmla="*/ 352949 w 593285"/>
            <a:gd name="connsiteY8" fmla="*/ 411195 h 593211"/>
            <a:gd name="connsiteX9" fmla="*/ 320410 w 593285"/>
            <a:gd name="connsiteY9" fmla="*/ 426103 h 593211"/>
            <a:gd name="connsiteX10" fmla="*/ 281358 w 593285"/>
            <a:gd name="connsiteY10" fmla="*/ 431164 h 593211"/>
            <a:gd name="connsiteX11" fmla="*/ 241680 w 593285"/>
            <a:gd name="connsiteY11" fmla="*/ 427657 h 593211"/>
            <a:gd name="connsiteX12" fmla="*/ 210306 w 593285"/>
            <a:gd name="connsiteY12" fmla="*/ 417161 h 593211"/>
            <a:gd name="connsiteX13" fmla="*/ 210306 w 593285"/>
            <a:gd name="connsiteY13" fmla="*/ 377200 h 593211"/>
            <a:gd name="connsiteX14" fmla="*/ 244672 w 593285"/>
            <a:gd name="connsiteY14" fmla="*/ 393022 h 593211"/>
            <a:gd name="connsiteX15" fmla="*/ 282654 w 593285"/>
            <a:gd name="connsiteY15" fmla="*/ 398208 h 593211"/>
            <a:gd name="connsiteX16" fmla="*/ 301071 w 593285"/>
            <a:gd name="connsiteY16" fmla="*/ 396388 h 593211"/>
            <a:gd name="connsiteX17" fmla="*/ 319364 w 593285"/>
            <a:gd name="connsiteY17" fmla="*/ 389781 h 593211"/>
            <a:gd name="connsiteX18" fmla="*/ 333368 w 593285"/>
            <a:gd name="connsiteY18" fmla="*/ 376685 h 593211"/>
            <a:gd name="connsiteX19" fmla="*/ 338929 w 593285"/>
            <a:gd name="connsiteY19" fmla="*/ 355685 h 593211"/>
            <a:gd name="connsiteX20" fmla="*/ 333626 w 593285"/>
            <a:gd name="connsiteY20" fmla="*/ 334029 h 593211"/>
            <a:gd name="connsiteX21" fmla="*/ 318840 w 593285"/>
            <a:gd name="connsiteY21" fmla="*/ 319511 h 593211"/>
            <a:gd name="connsiteX22" fmla="*/ 296541 w 593285"/>
            <a:gd name="connsiteY22" fmla="*/ 311342 h 593211"/>
            <a:gd name="connsiteX23" fmla="*/ 268650 w 593285"/>
            <a:gd name="connsiteY23" fmla="*/ 308749 h 593211"/>
            <a:gd name="connsiteX24" fmla="*/ 244547 w 593285"/>
            <a:gd name="connsiteY24" fmla="*/ 308749 h 593211"/>
            <a:gd name="connsiteX25" fmla="*/ 244547 w 593285"/>
            <a:gd name="connsiteY25" fmla="*/ 275559 h 593211"/>
            <a:gd name="connsiteX26" fmla="*/ 267369 w 593285"/>
            <a:gd name="connsiteY26" fmla="*/ 275559 h 593211"/>
            <a:gd name="connsiteX27" fmla="*/ 292144 w 593285"/>
            <a:gd name="connsiteY27" fmla="*/ 273216 h 593211"/>
            <a:gd name="connsiteX28" fmla="*/ 311592 w 593285"/>
            <a:gd name="connsiteY28" fmla="*/ 265571 h 593211"/>
            <a:gd name="connsiteX29" fmla="*/ 324300 w 593285"/>
            <a:gd name="connsiteY29" fmla="*/ 251951 h 593211"/>
            <a:gd name="connsiteX30" fmla="*/ 328838 w 593285"/>
            <a:gd name="connsiteY30" fmla="*/ 231732 h 593211"/>
            <a:gd name="connsiteX31" fmla="*/ 324565 w 593285"/>
            <a:gd name="connsiteY31" fmla="*/ 213450 h 593211"/>
            <a:gd name="connsiteX32" fmla="*/ 313631 w 593285"/>
            <a:gd name="connsiteY32" fmla="*/ 202298 h 593211"/>
            <a:gd name="connsiteX33" fmla="*/ 299228 w 593285"/>
            <a:gd name="connsiteY33" fmla="*/ 196722 h 593211"/>
            <a:gd name="connsiteX34" fmla="*/ 284193 w 593285"/>
            <a:gd name="connsiteY34" fmla="*/ 195160 h 593211"/>
            <a:gd name="connsiteX35" fmla="*/ 252029 w 593285"/>
            <a:gd name="connsiteY35" fmla="*/ 199846 h 593211"/>
            <a:gd name="connsiteX36" fmla="*/ 221428 w 593285"/>
            <a:gd name="connsiteY36" fmla="*/ 213840 h 593211"/>
            <a:gd name="connsiteX37" fmla="*/ 221428 w 593285"/>
            <a:gd name="connsiteY37" fmla="*/ 177050 h 593211"/>
            <a:gd name="connsiteX38" fmla="*/ 252240 w 593285"/>
            <a:gd name="connsiteY38" fmla="*/ 165765 h 593211"/>
            <a:gd name="connsiteX39" fmla="*/ 287887 w 593285"/>
            <a:gd name="connsiteY39" fmla="*/ 162009 h 593211"/>
            <a:gd name="connsiteX40" fmla="*/ 319668 w 593285"/>
            <a:gd name="connsiteY40" fmla="*/ 165765 h 593211"/>
            <a:gd name="connsiteX41" fmla="*/ 347005 w 593285"/>
            <a:gd name="connsiteY41" fmla="*/ 177307 h 593211"/>
            <a:gd name="connsiteX42" fmla="*/ 366070 w 593285"/>
            <a:gd name="connsiteY42" fmla="*/ 197011 h 593211"/>
            <a:gd name="connsiteX43" fmla="*/ 373194 w 593285"/>
            <a:gd name="connsiteY43" fmla="*/ 225274 h 593211"/>
            <a:gd name="connsiteX44" fmla="*/ 358291 w 593285"/>
            <a:gd name="connsiteY44" fmla="*/ 267804 h 593211"/>
            <a:gd name="connsiteX45" fmla="*/ 317442 w 593285"/>
            <a:gd name="connsiteY45" fmla="*/ 290358 h 593211"/>
            <a:gd name="connsiteX46" fmla="*/ 342076 w 593285"/>
            <a:gd name="connsiteY46" fmla="*/ 296606 h 593211"/>
            <a:gd name="connsiteX47" fmla="*/ 363219 w 593285"/>
            <a:gd name="connsiteY47" fmla="*/ 309702 h 593211"/>
            <a:gd name="connsiteX48" fmla="*/ 377864 w 593285"/>
            <a:gd name="connsiteY48" fmla="*/ 328890 h 593211"/>
            <a:gd name="connsiteX49" fmla="*/ 383332 w 593285"/>
            <a:gd name="connsiteY49" fmla="*/ 353139 h 593211"/>
            <a:gd name="connsiteX50" fmla="*/ 375131 w 593285"/>
            <a:gd name="connsiteY50" fmla="*/ 386821 h 5932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Lst>
          <a:rect l="l" t="t" r="r" b="b"/>
          <a:pathLst>
            <a:path w="593285" h="593211">
              <a:moveTo>
                <a:pt x="296651" y="0"/>
              </a:moveTo>
              <a:cubicBezTo>
                <a:pt x="132819" y="-4"/>
                <a:pt x="5" y="132787"/>
                <a:pt x="0" y="296598"/>
              </a:cubicBezTo>
              <a:cubicBezTo>
                <a:pt x="-5" y="460409"/>
                <a:pt x="132803" y="593207"/>
                <a:pt x="296635" y="593211"/>
              </a:cubicBezTo>
              <a:cubicBezTo>
                <a:pt x="460466" y="593215"/>
                <a:pt x="593281" y="460424"/>
                <a:pt x="593286" y="296613"/>
              </a:cubicBezTo>
              <a:cubicBezTo>
                <a:pt x="593286" y="296603"/>
                <a:pt x="593286" y="296592"/>
                <a:pt x="593286" y="296582"/>
              </a:cubicBezTo>
              <a:cubicBezTo>
                <a:pt x="593346" y="132845"/>
                <a:pt x="460643" y="60"/>
                <a:pt x="296885" y="0"/>
              </a:cubicBezTo>
              <a:cubicBezTo>
                <a:pt x="296807" y="0"/>
                <a:pt x="296729" y="0"/>
                <a:pt x="296651" y="0"/>
              </a:cubicBezTo>
              <a:close/>
              <a:moveTo>
                <a:pt x="375131" y="386821"/>
              </a:moveTo>
              <a:cubicBezTo>
                <a:pt x="369673" y="396517"/>
                <a:pt x="362089" y="404850"/>
                <a:pt x="352949" y="411195"/>
              </a:cubicBezTo>
              <a:cubicBezTo>
                <a:pt x="343055" y="418023"/>
                <a:pt x="332042" y="423068"/>
                <a:pt x="320410" y="426103"/>
              </a:cubicBezTo>
              <a:cubicBezTo>
                <a:pt x="307677" y="429525"/>
                <a:pt x="294543" y="431227"/>
                <a:pt x="281358" y="431164"/>
              </a:cubicBezTo>
              <a:cubicBezTo>
                <a:pt x="268052" y="431210"/>
                <a:pt x="254771" y="430036"/>
                <a:pt x="241680" y="427657"/>
              </a:cubicBezTo>
              <a:cubicBezTo>
                <a:pt x="230720" y="425891"/>
                <a:pt x="220122" y="422346"/>
                <a:pt x="210306" y="417161"/>
              </a:cubicBezTo>
              <a:lnTo>
                <a:pt x="210306" y="377200"/>
              </a:lnTo>
              <a:cubicBezTo>
                <a:pt x="220729" y="384475"/>
                <a:pt x="232366" y="389833"/>
                <a:pt x="244672" y="393022"/>
              </a:cubicBezTo>
              <a:cubicBezTo>
                <a:pt x="257050" y="396412"/>
                <a:pt x="269821" y="398156"/>
                <a:pt x="282654" y="398208"/>
              </a:cubicBezTo>
              <a:cubicBezTo>
                <a:pt x="288836" y="398164"/>
                <a:pt x="295001" y="397555"/>
                <a:pt x="301071" y="396388"/>
              </a:cubicBezTo>
              <a:cubicBezTo>
                <a:pt x="307498" y="395233"/>
                <a:pt x="313683" y="392999"/>
                <a:pt x="319364" y="389781"/>
              </a:cubicBezTo>
              <a:cubicBezTo>
                <a:pt x="324991" y="386570"/>
                <a:pt x="329787" y="382085"/>
                <a:pt x="333368" y="376685"/>
              </a:cubicBezTo>
              <a:cubicBezTo>
                <a:pt x="337282" y="370399"/>
                <a:pt x="339219" y="363083"/>
                <a:pt x="338929" y="355685"/>
              </a:cubicBezTo>
              <a:cubicBezTo>
                <a:pt x="339158" y="348119"/>
                <a:pt x="337325" y="340633"/>
                <a:pt x="333626" y="334029"/>
              </a:cubicBezTo>
              <a:cubicBezTo>
                <a:pt x="330015" y="328009"/>
                <a:pt x="324925" y="323011"/>
                <a:pt x="318840" y="319511"/>
              </a:cubicBezTo>
              <a:cubicBezTo>
                <a:pt x="311913" y="315568"/>
                <a:pt x="304377" y="312807"/>
                <a:pt x="296541" y="311342"/>
              </a:cubicBezTo>
              <a:cubicBezTo>
                <a:pt x="287353" y="309555"/>
                <a:pt x="278010" y="308687"/>
                <a:pt x="268650" y="308749"/>
              </a:cubicBezTo>
              <a:lnTo>
                <a:pt x="244547" y="308749"/>
              </a:lnTo>
              <a:lnTo>
                <a:pt x="244547" y="275559"/>
              </a:lnTo>
              <a:lnTo>
                <a:pt x="267369" y="275559"/>
              </a:lnTo>
              <a:cubicBezTo>
                <a:pt x="275686" y="275620"/>
                <a:pt x="283987" y="274835"/>
                <a:pt x="292144" y="273216"/>
              </a:cubicBezTo>
              <a:cubicBezTo>
                <a:pt x="299048" y="271909"/>
                <a:pt x="305646" y="269315"/>
                <a:pt x="311592" y="265571"/>
              </a:cubicBezTo>
              <a:cubicBezTo>
                <a:pt x="316905" y="262170"/>
                <a:pt x="321276" y="257486"/>
                <a:pt x="324300" y="251951"/>
              </a:cubicBezTo>
              <a:cubicBezTo>
                <a:pt x="327492" y="245701"/>
                <a:pt x="329053" y="238746"/>
                <a:pt x="328838" y="231732"/>
              </a:cubicBezTo>
              <a:cubicBezTo>
                <a:pt x="329098" y="225363"/>
                <a:pt x="327622" y="219044"/>
                <a:pt x="324565" y="213450"/>
              </a:cubicBezTo>
              <a:cubicBezTo>
                <a:pt x="321895" y="208888"/>
                <a:pt x="318139" y="205058"/>
                <a:pt x="313631" y="202298"/>
              </a:cubicBezTo>
              <a:cubicBezTo>
                <a:pt x="309194" y="199609"/>
                <a:pt x="304319" y="197722"/>
                <a:pt x="299228" y="196722"/>
              </a:cubicBezTo>
              <a:cubicBezTo>
                <a:pt x="294280" y="195707"/>
                <a:pt x="289244" y="195183"/>
                <a:pt x="284193" y="195160"/>
              </a:cubicBezTo>
              <a:cubicBezTo>
                <a:pt x="273309" y="195261"/>
                <a:pt x="262489" y="196837"/>
                <a:pt x="252029" y="199846"/>
              </a:cubicBezTo>
              <a:cubicBezTo>
                <a:pt x="241130" y="202802"/>
                <a:pt x="230792" y="207530"/>
                <a:pt x="221428" y="213840"/>
              </a:cubicBezTo>
              <a:lnTo>
                <a:pt x="221428" y="177050"/>
              </a:lnTo>
              <a:cubicBezTo>
                <a:pt x="231138" y="171905"/>
                <a:pt x="241504" y="168109"/>
                <a:pt x="252240" y="165765"/>
              </a:cubicBezTo>
              <a:cubicBezTo>
                <a:pt x="263948" y="163204"/>
                <a:pt x="275903" y="161945"/>
                <a:pt x="287887" y="162009"/>
              </a:cubicBezTo>
              <a:cubicBezTo>
                <a:pt x="298593" y="161989"/>
                <a:pt x="309262" y="163250"/>
                <a:pt x="319668" y="165765"/>
              </a:cubicBezTo>
              <a:cubicBezTo>
                <a:pt x="329369" y="168034"/>
                <a:pt x="338613" y="171938"/>
                <a:pt x="347005" y="177307"/>
              </a:cubicBezTo>
              <a:cubicBezTo>
                <a:pt x="354790" y="182323"/>
                <a:pt x="361314" y="189065"/>
                <a:pt x="366070" y="197011"/>
              </a:cubicBezTo>
              <a:cubicBezTo>
                <a:pt x="370985" y="205604"/>
                <a:pt x="373448" y="215379"/>
                <a:pt x="373194" y="225274"/>
              </a:cubicBezTo>
              <a:cubicBezTo>
                <a:pt x="373812" y="240828"/>
                <a:pt x="368484" y="256036"/>
                <a:pt x="358291" y="267804"/>
              </a:cubicBezTo>
              <a:cubicBezTo>
                <a:pt x="347376" y="279418"/>
                <a:pt x="333087" y="287308"/>
                <a:pt x="317442" y="290358"/>
              </a:cubicBezTo>
              <a:cubicBezTo>
                <a:pt x="325913" y="291233"/>
                <a:pt x="334212" y="293338"/>
                <a:pt x="342076" y="296606"/>
              </a:cubicBezTo>
              <a:cubicBezTo>
                <a:pt x="349807" y="299760"/>
                <a:pt x="356953" y="304186"/>
                <a:pt x="363219" y="309702"/>
              </a:cubicBezTo>
              <a:cubicBezTo>
                <a:pt x="369302" y="315085"/>
                <a:pt x="374277" y="321603"/>
                <a:pt x="377864" y="328890"/>
              </a:cubicBezTo>
              <a:cubicBezTo>
                <a:pt x="381548" y="336437"/>
                <a:pt x="383421" y="344740"/>
                <a:pt x="383332" y="353139"/>
              </a:cubicBezTo>
              <a:cubicBezTo>
                <a:pt x="383577" y="364889"/>
                <a:pt x="380750" y="376499"/>
                <a:pt x="375131" y="386821"/>
              </a:cubicBezTo>
              <a:close/>
            </a:path>
          </a:pathLst>
        </a:custGeom>
        <a:solidFill>
          <a:schemeClr val="tx1">
            <a:lumMod val="65000"/>
            <a:lumOff val="35000"/>
          </a:schemeClr>
        </a:solidFill>
        <a:ln w="7739" cap="flat">
          <a:noFill/>
          <a:prstDash val="solid"/>
          <a:miter/>
        </a:ln>
      </xdr:spPr>
      <xdr:txBody>
        <a:bodyPr rtlCol="0" anchor="ctr"/>
        <a:lstStyle/>
        <a:p>
          <a:endParaRPr lang="en-US"/>
        </a:p>
      </xdr:txBody>
    </xdr:sp>
    <xdr:clientData/>
  </xdr:twoCellAnchor>
  <xdr:twoCellAnchor editAs="oneCell">
    <xdr:from>
      <xdr:col>27</xdr:col>
      <xdr:colOff>342899</xdr:colOff>
      <xdr:row>0</xdr:row>
      <xdr:rowOff>0</xdr:rowOff>
    </xdr:from>
    <xdr:to>
      <xdr:col>30</xdr:col>
      <xdr:colOff>553858</xdr:colOff>
      <xdr:row>2</xdr:row>
      <xdr:rowOff>863</xdr:rowOff>
    </xdr:to>
    <xdr:pic>
      <xdr:nvPicPr>
        <xdr:cNvPr id="17" name="Picture 37" descr="A colorful circle with dots&#10;&#10;AI-generated content may be incorrect.">
          <a:extLst>
            <a:ext uri="{FF2B5EF4-FFF2-40B4-BE49-F238E27FC236}">
              <a16:creationId xmlns:a16="http://schemas.microsoft.com/office/drawing/2014/main" id="{67303ABB-090A-49F6-81D4-142065EBBF91}"/>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9944" b="99599" l="10000" r="90000">
                      <a14:foregroundMark x1="43850" y1="22213" x2="43850" y2="22213"/>
                      <a14:foregroundMark x1="43743" y1="18364" x2="43743" y2="27747"/>
                      <a14:foregroundMark x1="70856" y1="52205" x2="70856" y2="52205"/>
                      <a14:foregroundMark x1="69465" y1="86047" x2="73904" y2="97193"/>
                      <a14:foregroundMark x1="79037" y1="98316" x2="79037" y2="98316"/>
                      <a14:foregroundMark x1="79786" y1="97594" x2="79786" y2="97594"/>
                      <a14:foregroundMark x1="80267" y1="98476" x2="80267" y2="98476"/>
                      <a14:foregroundMark x1="79679" y1="96712" x2="81016" y2="99599"/>
                      <a14:foregroundMark x1="42299" y1="17642" x2="42888" y2="22454"/>
                    </a14:backgroundRemoval>
                  </a14:imgEffect>
                </a14:imgLayer>
              </a14:imgProps>
            </a:ext>
            <a:ext uri="{28A0092B-C50C-407E-A947-70E740481C1C}">
              <a14:useLocalDpi xmlns:a14="http://schemas.microsoft.com/office/drawing/2010/main" val="0"/>
            </a:ext>
          </a:extLst>
        </a:blip>
        <a:stretch>
          <a:fillRect/>
        </a:stretch>
      </xdr:blipFill>
      <xdr:spPr>
        <a:xfrm>
          <a:off x="29289374" y="0"/>
          <a:ext cx="2341095" cy="1591538"/>
        </a:xfrm>
        <a:prstGeom prst="rect">
          <a:avLst/>
        </a:prstGeom>
      </xdr:spPr>
    </xdr:pic>
    <xdr:clientData/>
  </xdr:twoCellAnchor>
  <xdr:twoCellAnchor editAs="oneCell">
    <xdr:from>
      <xdr:col>33</xdr:col>
      <xdr:colOff>3022415</xdr:colOff>
      <xdr:row>0</xdr:row>
      <xdr:rowOff>221589</xdr:rowOff>
    </xdr:from>
    <xdr:to>
      <xdr:col>36</xdr:col>
      <xdr:colOff>571500</xdr:colOff>
      <xdr:row>1</xdr:row>
      <xdr:rowOff>1295703</xdr:rowOff>
    </xdr:to>
    <xdr:pic>
      <xdr:nvPicPr>
        <xdr:cNvPr id="18" name="Picture 17" descr="A colorful curved lines and dots&#10;&#10;AI-generated content may be incorrect.">
          <a:extLst>
            <a:ext uri="{FF2B5EF4-FFF2-40B4-BE49-F238E27FC236}">
              <a16:creationId xmlns:a16="http://schemas.microsoft.com/office/drawing/2014/main" id="{08A447BC-2AAD-42C1-8C74-310654712300}"/>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4449" b="97776" l="4043" r="99798">
                      <a14:foregroundMark x1="17655" y1="4550" x2="16577" y2="23357"/>
                      <a14:foregroundMark x1="9164" y1="23357" x2="9164" y2="23357"/>
                      <a14:foregroundMark x1="28774" y1="32861" x2="28774" y2="32861"/>
                      <a14:foregroundMark x1="89960" y1="64206" x2="96900" y2="83620"/>
                      <a14:foregroundMark x1="96361" y1="77856" x2="99798" y2="92315"/>
                      <a14:foregroundMark x1="99798" y1="92315" x2="99798" y2="92315"/>
                      <a14:foregroundMark x1="96900" y1="86552" x2="99057" y2="97776"/>
                      <a14:foregroundMark x1="12736" y1="38625" x2="6065" y2="54499"/>
                      <a14:foregroundMark x1="6065" y1="54499" x2="13477" y2="61982"/>
                      <a14:foregroundMark x1="13477" y1="61982" x2="19879" y2="57937"/>
                      <a14:foregroundMark x1="10377" y1="41052" x2="4245" y2="50354"/>
                      <a14:foregroundMark x1="4245" y1="50354" x2="11860" y2="66936"/>
                      <a14:foregroundMark x1="11860" y1="66936" x2="19811" y2="64105"/>
                      <a14:foregroundMark x1="19811" y1="64105" x2="20418" y2="62588"/>
                      <a14:foregroundMark x1="6806" y1="57128" x2="6806" y2="57128"/>
                      <a14:foregroundMark x1="4987" y1="55511" x2="4987" y2="55511"/>
                      <a14:foregroundMark x1="5121" y1="57128" x2="7345" y2="64206"/>
                      <a14:foregroundMark x1="9299" y1="66127" x2="16240" y2="67745"/>
                      <a14:foregroundMark x1="22574" y1="62386" x2="14488" y2="67947"/>
                      <a14:foregroundMark x1="14488" y1="67947" x2="11658" y2="67745"/>
                      <a14:foregroundMark x1="10782" y1="39737" x2="4380" y2="50859"/>
                      <a14:foregroundMark x1="4380" y1="50859" x2="5997" y2="63195"/>
                      <a14:foregroundMark x1="5997" y1="63195" x2="6941" y2="64510"/>
                      <a14:foregroundMark x1="7682" y1="65622" x2="15162" y2="68655"/>
                      <a14:foregroundMark x1="17857" y1="66936" x2="20755" y2="66127"/>
                      <a14:foregroundMark x1="16914" y1="67745" x2="16914" y2="67745"/>
                      <a14:foregroundMark x1="9299" y1="40243" x2="5863" y2="45399"/>
                      <a14:foregroundMark x1="6604" y1="43579" x2="4987" y2="49848"/>
                      <a14:foregroundMark x1="12938" y1="37513" x2="8962" y2="41355"/>
                      <a14:foregroundMark x1="13140" y1="37513" x2="5795" y2="45905"/>
                      <a14:foregroundMark x1="5795" y1="45905" x2="4245" y2="49848"/>
                      <a14:foregroundMark x1="13342" y1="37007" x2="5863" y2="47219"/>
                      <a14:foregroundMark x1="5863" y1="47219" x2="4043" y2="57128"/>
                      <a14:foregroundMark x1="28774" y1="32659" x2="28774" y2="32659"/>
                      <a14:foregroundMark x1="27695" y1="32659" x2="27695" y2="32659"/>
                    </a14:backgroundRemoval>
                  </a14:imgEffect>
                </a14:imgLayer>
              </a14:imgProps>
            </a:ext>
            <a:ext uri="{28A0092B-C50C-407E-A947-70E740481C1C}">
              <a14:useLocalDpi xmlns:a14="http://schemas.microsoft.com/office/drawing/2010/main" val="0"/>
            </a:ext>
          </a:extLst>
        </a:blip>
        <a:stretch>
          <a:fillRect/>
        </a:stretch>
      </xdr:blipFill>
      <xdr:spPr>
        <a:xfrm>
          <a:off x="35283590" y="221589"/>
          <a:ext cx="2216336" cy="1340814"/>
        </a:xfrm>
        <a:prstGeom prst="rect">
          <a:avLst/>
        </a:prstGeom>
      </xdr:spPr>
    </xdr:pic>
    <xdr:clientData/>
  </xdr:twoCellAnchor>
  <xdr:twoCellAnchor>
    <xdr:from>
      <xdr:col>26</xdr:col>
      <xdr:colOff>1016000</xdr:colOff>
      <xdr:row>1</xdr:row>
      <xdr:rowOff>25400</xdr:rowOff>
    </xdr:from>
    <xdr:to>
      <xdr:col>34</xdr:col>
      <xdr:colOff>1066799</xdr:colOff>
      <xdr:row>1</xdr:row>
      <xdr:rowOff>1149350</xdr:rowOff>
    </xdr:to>
    <xdr:sp macro="" textlink="">
      <xdr:nvSpPr>
        <xdr:cNvPr id="19" name="TextBox 17">
          <a:extLst>
            <a:ext uri="{FF2B5EF4-FFF2-40B4-BE49-F238E27FC236}">
              <a16:creationId xmlns:a16="http://schemas.microsoft.com/office/drawing/2014/main" id="{8890055D-254D-49FD-B4BD-80DDBAEBAED0}"/>
            </a:ext>
          </a:extLst>
        </xdr:cNvPr>
        <xdr:cNvSpPr txBox="1"/>
      </xdr:nvSpPr>
      <xdr:spPr>
        <a:xfrm>
          <a:off x="26714450" y="292100"/>
          <a:ext cx="9671049"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a:solidFill>
                <a:schemeClr val="tx1">
                  <a:lumMod val="85000"/>
                  <a:lumOff val="15000"/>
                </a:schemeClr>
              </a:solidFill>
              <a:effectLst/>
              <a:latin typeface="Segoe UI Semibold" panose="020B0702040204020203" pitchFamily="34" charset="0"/>
              <a:ea typeface="+mn-ea"/>
              <a:cs typeface="Segoe UI Semibold" panose="020B0702040204020203" pitchFamily="34" charset="0"/>
            </a:rPr>
            <a:t>Envision company-wide Copilot transformation</a:t>
          </a:r>
          <a:endParaRPr lang="en-US" sz="2800">
            <a:solidFill>
              <a:schemeClr val="tx1">
                <a:lumMod val="85000"/>
                <a:lumOff val="1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editAs="oneCell">
    <xdr:from>
      <xdr:col>24</xdr:col>
      <xdr:colOff>702795</xdr:colOff>
      <xdr:row>5</xdr:row>
      <xdr:rowOff>232150</xdr:rowOff>
    </xdr:from>
    <xdr:to>
      <xdr:col>26</xdr:col>
      <xdr:colOff>67426</xdr:colOff>
      <xdr:row>7</xdr:row>
      <xdr:rowOff>19556</xdr:rowOff>
    </xdr:to>
    <xdr:pic>
      <xdr:nvPicPr>
        <xdr:cNvPr id="20" name="Graphic 19" descr="Checkmark with solid fill">
          <a:extLst>
            <a:ext uri="{FF2B5EF4-FFF2-40B4-BE49-F238E27FC236}">
              <a16:creationId xmlns:a16="http://schemas.microsoft.com/office/drawing/2014/main" id="{36943454-C458-4B81-A3DC-5236EE4DC30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391595" y="2575300"/>
          <a:ext cx="371106" cy="377956"/>
        </a:xfrm>
        <a:prstGeom prst="rect">
          <a:avLst/>
        </a:prstGeom>
      </xdr:spPr>
    </xdr:pic>
    <xdr:clientData/>
  </xdr:twoCellAnchor>
  <xdr:twoCellAnchor editAs="oneCell">
    <xdr:from>
      <xdr:col>25</xdr:col>
      <xdr:colOff>12140</xdr:colOff>
      <xdr:row>6</xdr:row>
      <xdr:rowOff>303624</xdr:rowOff>
    </xdr:from>
    <xdr:to>
      <xdr:col>26</xdr:col>
      <xdr:colOff>47921</xdr:colOff>
      <xdr:row>7</xdr:row>
      <xdr:rowOff>355543</xdr:rowOff>
    </xdr:to>
    <xdr:pic>
      <xdr:nvPicPr>
        <xdr:cNvPr id="21" name="Graphic 20" descr="Checkmark with solid fill">
          <a:extLst>
            <a:ext uri="{FF2B5EF4-FFF2-40B4-BE49-F238E27FC236}">
              <a16:creationId xmlns:a16="http://schemas.microsoft.com/office/drawing/2014/main" id="{424A699D-64D0-4708-9F09-55B524B04F1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020807" y="2885957"/>
          <a:ext cx="350106" cy="3874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en-us/graph/overview" TargetMode="External"/><Relationship Id="rId1" Type="http://schemas.openxmlformats.org/officeDocument/2006/relationships/hyperlink" Target="https://microsoft.seismic.com/Link/Content/DC6jdcX3977JBGTRbjqWdGffcgPd"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mailto:anbryant@microsoft.com" TargetMode="External"/><Relationship Id="rId1" Type="http://schemas.openxmlformats.org/officeDocument/2006/relationships/hyperlink" Target="mailto:BCBhelp@microsoft.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graph/overview" TargetMode="External"/><Relationship Id="rId7" Type="http://schemas.openxmlformats.org/officeDocument/2006/relationships/comments" Target="../comments2.xml"/><Relationship Id="rId2" Type="http://schemas.openxmlformats.org/officeDocument/2006/relationships/hyperlink" Target="https://microsoft.seismic.com/Link/Content/DC6jdcX3977JBGTRbjqWdGffcgPd" TargetMode="External"/><Relationship Id="rId1" Type="http://schemas.openxmlformats.org/officeDocument/2006/relationships/hyperlink" Target="https://www.microsoft.com/en-us/microsoft-copilot/blog/copilot-studio/unveiling-copilot-agents-built-with-microsoft-copilot-studio-to-supercharge-your-business/"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4C7F-4747-4777-96CC-62721A449990}">
  <dimension ref="A1:DD166"/>
  <sheetViews>
    <sheetView showGridLines="0" topLeftCell="G1" zoomScaleNormal="100" workbookViewId="0">
      <selection activeCell="M19" sqref="M19"/>
    </sheetView>
  </sheetViews>
  <sheetFormatPr defaultColWidth="9.140625" defaultRowHeight="15"/>
  <cols>
    <col min="1" max="1" width="7.5703125" customWidth="1"/>
    <col min="2" max="2" width="71.140625" customWidth="1"/>
    <col min="3" max="3" width="14.85546875" style="87" bestFit="1" customWidth="1"/>
    <col min="4" max="4" width="17.140625" style="87" customWidth="1"/>
    <col min="5" max="5" width="18.85546875" style="87" customWidth="1"/>
    <col min="6" max="10" width="17.140625" style="87" customWidth="1"/>
    <col min="11" max="11" width="4.85546875" customWidth="1"/>
    <col min="12" max="12" width="2.85546875" style="108" customWidth="1"/>
    <col min="13" max="13" width="8.140625" customWidth="1"/>
    <col min="14" max="14" width="71.5703125" customWidth="1"/>
    <col min="15" max="15" width="17.140625" style="87" customWidth="1"/>
    <col min="16" max="16" width="8.140625" customWidth="1"/>
    <col min="17" max="17" width="2.85546875" style="108" customWidth="1"/>
    <col min="18" max="18" width="8.140625" customWidth="1"/>
    <col min="19" max="19" width="48.85546875" customWidth="1"/>
    <col min="20" max="20" width="16.85546875" customWidth="1"/>
    <col min="21" max="21" width="3.140625" customWidth="1"/>
    <col min="22" max="22" width="45.85546875" customWidth="1"/>
    <col min="23" max="23" width="18.85546875" customWidth="1"/>
    <col min="24" max="40" width="39.85546875" customWidth="1"/>
    <col min="41" max="90" width="9.85546875" customWidth="1"/>
    <col min="91" max="91" width="10.140625" customWidth="1"/>
    <col min="108" max="108" width="9.42578125" bestFit="1" customWidth="1"/>
  </cols>
  <sheetData>
    <row r="1" spans="2:108" ht="21" customHeight="1">
      <c r="AS1" s="391"/>
      <c r="AT1" s="391"/>
      <c r="BB1" s="2"/>
      <c r="DA1" s="2" t="s">
        <v>0</v>
      </c>
      <c r="DD1" s="1"/>
    </row>
    <row r="2" spans="2:108" ht="24" customHeight="1">
      <c r="B2" s="390" t="s">
        <v>1</v>
      </c>
      <c r="C2" s="390"/>
      <c r="D2" s="390"/>
      <c r="E2" s="390"/>
      <c r="F2" s="390"/>
      <c r="G2" s="390"/>
      <c r="H2" s="390"/>
      <c r="I2" s="390"/>
      <c r="J2" s="390"/>
      <c r="K2" s="37"/>
      <c r="L2" s="109"/>
      <c r="M2" s="37"/>
      <c r="N2" s="392" t="s">
        <v>2</v>
      </c>
      <c r="O2" s="392"/>
      <c r="P2" s="20"/>
      <c r="Q2" s="114"/>
      <c r="R2" s="20"/>
      <c r="S2" s="393" t="s">
        <v>3</v>
      </c>
      <c r="T2" s="393"/>
      <c r="U2" s="393"/>
      <c r="V2" s="393"/>
      <c r="W2" s="393"/>
      <c r="AS2" s="2"/>
      <c r="AT2" s="1"/>
      <c r="DA2" s="8" t="s">
        <v>4</v>
      </c>
      <c r="DD2" s="17"/>
    </row>
    <row r="3" spans="2:108" ht="24.75" customHeight="1">
      <c r="B3" s="394" t="s">
        <v>5</v>
      </c>
      <c r="C3" s="394"/>
      <c r="D3" s="394"/>
      <c r="E3" s="394"/>
      <c r="F3" s="394"/>
      <c r="G3" s="394"/>
      <c r="H3" s="394"/>
      <c r="I3" s="394"/>
      <c r="J3" s="394"/>
      <c r="K3" s="1"/>
      <c r="L3" s="110"/>
      <c r="M3" s="1"/>
      <c r="N3" s="394" t="s">
        <v>6</v>
      </c>
      <c r="O3" s="394"/>
      <c r="P3" s="1"/>
      <c r="Q3" s="110"/>
      <c r="R3" s="1"/>
      <c r="S3" s="78" t="s">
        <v>7</v>
      </c>
      <c r="T3" s="26"/>
      <c r="AS3" s="2"/>
      <c r="DD3" s="1"/>
    </row>
    <row r="4" spans="2:108" ht="24.75" customHeight="1">
      <c r="B4" s="406"/>
      <c r="C4" s="406"/>
      <c r="D4" s="406"/>
      <c r="E4" s="406"/>
      <c r="F4" s="406"/>
      <c r="G4" s="406"/>
      <c r="H4" s="406"/>
      <c r="I4" s="406"/>
      <c r="J4" s="406"/>
      <c r="N4" s="395"/>
      <c r="O4" s="395"/>
      <c r="S4" s="407" t="s">
        <v>8</v>
      </c>
      <c r="T4" s="407"/>
      <c r="U4" s="407"/>
      <c r="V4" s="407"/>
      <c r="W4" s="407"/>
      <c r="AP4" s="2"/>
      <c r="DA4" s="1"/>
    </row>
    <row r="5" spans="2:108" ht="24.95" customHeight="1">
      <c r="B5" s="24" t="s">
        <v>9</v>
      </c>
      <c r="C5" s="23" t="s">
        <v>10</v>
      </c>
      <c r="D5" s="23" t="s">
        <v>11</v>
      </c>
      <c r="E5" s="23" t="s">
        <v>12</v>
      </c>
      <c r="F5" s="23" t="s">
        <v>13</v>
      </c>
      <c r="G5" s="23" t="s">
        <v>14</v>
      </c>
      <c r="H5" s="23" t="s">
        <v>15</v>
      </c>
      <c r="I5" s="25" t="s">
        <v>16</v>
      </c>
      <c r="J5" s="23" t="s">
        <v>17</v>
      </c>
      <c r="M5" s="7"/>
      <c r="N5" s="404" t="s">
        <v>9</v>
      </c>
      <c r="O5" s="405"/>
      <c r="P5" s="7"/>
      <c r="R5" s="7"/>
      <c r="S5" s="408" t="str">
        <f>"Advaned Microsoft Copilot capabilities in applications and agents for "&amp;TEXT(T12,"##%")&amp;" of employees"</f>
        <v>Advaned Microsoft Copilot capabilities in applications and agents for 26% of employees</v>
      </c>
      <c r="T5" s="408"/>
      <c r="U5" s="408"/>
      <c r="V5" s="408"/>
      <c r="W5" s="408"/>
      <c r="AP5" s="2"/>
      <c r="CJ5" s="1"/>
      <c r="DA5" s="2"/>
      <c r="DB5" s="8"/>
    </row>
    <row r="6" spans="2:108" s="88" customFormat="1" ht="24.95" customHeight="1">
      <c r="B6" s="83" t="s">
        <v>18</v>
      </c>
      <c r="C6" s="10">
        <v>7000</v>
      </c>
      <c r="D6" s="10">
        <v>1000</v>
      </c>
      <c r="E6" s="10">
        <v>1500</v>
      </c>
      <c r="F6" s="10">
        <v>500</v>
      </c>
      <c r="G6" s="10">
        <v>300</v>
      </c>
      <c r="H6" s="10">
        <v>1000</v>
      </c>
      <c r="I6" s="10">
        <v>200</v>
      </c>
      <c r="J6" s="10">
        <v>0</v>
      </c>
      <c r="L6" s="111"/>
      <c r="N6" s="85" t="s">
        <v>19</v>
      </c>
      <c r="O6" s="10">
        <f>(SUM(C6:J6))-(SUM(C37:J37))</f>
        <v>8474.0400000000009</v>
      </c>
      <c r="Q6" s="111"/>
      <c r="S6" s="77" t="str">
        <f xml:space="preserve"> "For a total monthly cost of $" &amp; TEXT(SUM(T10,W10), "#,###,###")</f>
        <v>For a total monthly cost of $185,979</v>
      </c>
      <c r="T6" s="79"/>
      <c r="U6" s="89"/>
      <c r="V6" s="89"/>
      <c r="W6" s="89"/>
      <c r="AP6" s="2"/>
      <c r="CJ6" s="1"/>
      <c r="DA6" s="8"/>
      <c r="DB6" s="8"/>
    </row>
    <row r="7" spans="2:108" s="88" customFormat="1" ht="24.95" customHeight="1">
      <c r="B7" s="9"/>
      <c r="C7" s="35"/>
      <c r="D7" s="35"/>
      <c r="E7" s="35"/>
      <c r="F7" s="35"/>
      <c r="G7" s="35"/>
      <c r="H7" s="35"/>
      <c r="I7" s="35"/>
      <c r="J7" s="36"/>
      <c r="L7" s="111"/>
      <c r="N7" s="9"/>
      <c r="O7" s="11"/>
      <c r="Q7" s="111"/>
      <c r="S7" s="26"/>
      <c r="T7" s="26"/>
      <c r="U7"/>
      <c r="V7"/>
      <c r="W7"/>
      <c r="AP7" s="2"/>
      <c r="CJ7" s="2"/>
      <c r="DB7" s="8"/>
    </row>
    <row r="8" spans="2:108" s="8" customFormat="1" ht="24.95" customHeight="1">
      <c r="B8" s="84" t="s">
        <v>20</v>
      </c>
      <c r="C8" s="10">
        <v>300</v>
      </c>
      <c r="D8" s="10">
        <v>300</v>
      </c>
      <c r="E8" s="10">
        <v>300</v>
      </c>
      <c r="F8" s="10">
        <v>100</v>
      </c>
      <c r="G8" s="10">
        <v>20</v>
      </c>
      <c r="H8" s="10">
        <v>300</v>
      </c>
      <c r="I8" s="10">
        <v>50</v>
      </c>
      <c r="J8" s="10">
        <v>0</v>
      </c>
      <c r="L8" s="112"/>
      <c r="M8" s="88"/>
      <c r="N8" s="85" t="s">
        <v>21</v>
      </c>
      <c r="O8" s="12">
        <v>0.4</v>
      </c>
      <c r="P8" s="88"/>
      <c r="Q8" s="112"/>
      <c r="R8" s="88"/>
      <c r="S8" s="396" t="s">
        <v>22</v>
      </c>
      <c r="T8" s="397"/>
      <c r="U8" s="49"/>
      <c r="V8" s="400" t="s">
        <v>23</v>
      </c>
      <c r="W8" s="401"/>
      <c r="AP8" s="2"/>
      <c r="CJ8" s="2"/>
    </row>
    <row r="9" spans="2:108" s="2" customFormat="1" ht="24.95" customHeight="1">
      <c r="B9" s="9"/>
      <c r="C9" s="13"/>
      <c r="D9" s="13"/>
      <c r="E9" s="13"/>
      <c r="F9" s="13"/>
      <c r="G9" s="13"/>
      <c r="H9" s="13"/>
      <c r="I9" s="13"/>
      <c r="J9" s="11"/>
      <c r="L9" s="113"/>
      <c r="M9" s="90"/>
      <c r="N9" s="105" t="s">
        <v>24</v>
      </c>
      <c r="O9" s="34"/>
      <c r="P9" s="90"/>
      <c r="Q9" s="113"/>
      <c r="R9" s="90"/>
      <c r="S9" s="398"/>
      <c r="T9" s="399"/>
      <c r="U9" s="49"/>
      <c r="V9" s="402"/>
      <c r="W9" s="403"/>
    </row>
    <row r="10" spans="2:108" s="2" customFormat="1" ht="24.95" customHeight="1">
      <c r="B10" s="85" t="s">
        <v>25</v>
      </c>
      <c r="C10" s="12">
        <v>0.8</v>
      </c>
      <c r="D10" s="12">
        <v>0.7</v>
      </c>
      <c r="E10" s="12">
        <v>0.6</v>
      </c>
      <c r="F10" s="12">
        <v>0.3</v>
      </c>
      <c r="G10" s="12">
        <v>0.2</v>
      </c>
      <c r="H10" s="12">
        <v>0.45</v>
      </c>
      <c r="I10" s="12">
        <v>0.55000000000000004</v>
      </c>
      <c r="J10" s="12">
        <v>0</v>
      </c>
      <c r="L10" s="113"/>
      <c r="M10" s="90"/>
      <c r="N10" s="84" t="s">
        <v>26</v>
      </c>
      <c r="O10" s="15">
        <v>27</v>
      </c>
      <c r="P10" s="90"/>
      <c r="Q10" s="113"/>
      <c r="R10" s="90"/>
      <c r="S10" s="75" t="s">
        <v>27</v>
      </c>
      <c r="T10" s="74">
        <f>C41</f>
        <v>90778.799999999988</v>
      </c>
      <c r="U10" s="88"/>
      <c r="V10" s="75" t="s">
        <v>28</v>
      </c>
      <c r="W10" s="74">
        <f>O40</f>
        <v>95200</v>
      </c>
    </row>
    <row r="11" spans="2:108" s="2" customFormat="1" ht="33.950000000000003" customHeight="1">
      <c r="B11" s="91" t="s">
        <v>29</v>
      </c>
      <c r="C11" s="33" t="s">
        <v>30</v>
      </c>
      <c r="D11" s="27"/>
      <c r="E11" s="27"/>
      <c r="F11" s="27"/>
      <c r="G11" s="27"/>
      <c r="H11" s="27"/>
      <c r="I11" s="27"/>
      <c r="J11" s="30"/>
      <c r="L11" s="113"/>
      <c r="M11" s="90"/>
      <c r="N11" s="9"/>
      <c r="O11" s="11"/>
      <c r="P11" s="90"/>
      <c r="Q11" s="113"/>
      <c r="R11" s="90"/>
      <c r="S11" s="75" t="s">
        <v>31</v>
      </c>
      <c r="T11" s="92">
        <f>SUM(C37:I37)</f>
        <v>3025.9599999999996</v>
      </c>
      <c r="U11" s="88"/>
      <c r="V11" s="75" t="s">
        <v>32</v>
      </c>
      <c r="W11" s="107">
        <f>O24</f>
        <v>3389.6160000000004</v>
      </c>
    </row>
    <row r="12" spans="2:108" s="2" customFormat="1" ht="24.95" customHeight="1">
      <c r="B12" s="84" t="s">
        <v>33</v>
      </c>
      <c r="C12" s="12">
        <v>0.8</v>
      </c>
      <c r="D12" s="12">
        <v>0.8</v>
      </c>
      <c r="E12" s="12">
        <v>0.8</v>
      </c>
      <c r="F12" s="12">
        <v>0.8</v>
      </c>
      <c r="G12" s="12">
        <v>0.8</v>
      </c>
      <c r="H12" s="12">
        <v>0.8</v>
      </c>
      <c r="I12" s="12">
        <v>0.8</v>
      </c>
      <c r="J12" s="12">
        <v>0</v>
      </c>
      <c r="L12" s="113"/>
      <c r="M12" s="90"/>
      <c r="N12" s="84" t="s">
        <v>34</v>
      </c>
      <c r="O12" s="15">
        <v>5</v>
      </c>
      <c r="P12" s="90"/>
      <c r="Q12" s="113"/>
      <c r="R12" s="90"/>
      <c r="S12" s="76" t="s">
        <v>35</v>
      </c>
      <c r="T12" s="93">
        <f>T11/(SUM(C6:J6))</f>
        <v>0.26312695652173912</v>
      </c>
      <c r="U12" s="8"/>
      <c r="V12" s="75" t="s">
        <v>36</v>
      </c>
      <c r="W12" s="92">
        <f>O39</f>
        <v>476</v>
      </c>
      <c r="AQ12" s="5"/>
    </row>
    <row r="13" spans="2:108" s="2" customFormat="1" ht="31.5" customHeight="1">
      <c r="B13" s="82" t="s">
        <v>37</v>
      </c>
      <c r="C13" s="27"/>
      <c r="D13" s="13"/>
      <c r="E13" s="13"/>
      <c r="F13" s="13"/>
      <c r="G13" s="13"/>
      <c r="H13" s="13"/>
      <c r="I13" s="13"/>
      <c r="J13" s="11"/>
      <c r="L13" s="113"/>
      <c r="M13" s="90"/>
      <c r="N13" s="9"/>
      <c r="O13" s="19"/>
      <c r="P13" s="90"/>
      <c r="Q13" s="113"/>
      <c r="R13" s="90"/>
      <c r="S13" s="94"/>
      <c r="T13" s="95"/>
      <c r="V13" s="75" t="s">
        <v>38</v>
      </c>
      <c r="W13" s="42">
        <f>0.01*O34</f>
        <v>118975.52160000002</v>
      </c>
    </row>
    <row r="14" spans="2:108" s="2" customFormat="1" ht="24.95" customHeight="1">
      <c r="B14" s="85" t="s">
        <v>39</v>
      </c>
      <c r="C14" s="12">
        <v>0.5</v>
      </c>
      <c r="D14" s="12">
        <v>0.5</v>
      </c>
      <c r="E14" s="12">
        <v>0.5</v>
      </c>
      <c r="F14" s="12">
        <v>0.5</v>
      </c>
      <c r="G14" s="12">
        <v>0.5</v>
      </c>
      <c r="H14" s="12">
        <v>0.5</v>
      </c>
      <c r="I14" s="12">
        <v>0.5</v>
      </c>
      <c r="J14" s="12">
        <v>0</v>
      </c>
      <c r="L14" s="113"/>
      <c r="M14" s="90"/>
      <c r="N14" s="84" t="s">
        <v>40</v>
      </c>
      <c r="O14" s="18" t="s">
        <v>0</v>
      </c>
      <c r="P14" s="90"/>
      <c r="Q14" s="113"/>
      <c r="R14" s="90"/>
      <c r="S14" s="94"/>
      <c r="T14" s="95"/>
      <c r="V14" s="76" t="s">
        <v>41</v>
      </c>
      <c r="W14" s="96">
        <f>(30*W11)-W10</f>
        <v>6488.4800000000105</v>
      </c>
    </row>
    <row r="15" spans="2:108" s="2" customFormat="1" ht="31.5" customHeight="1">
      <c r="B15" s="81" t="s">
        <v>42</v>
      </c>
      <c r="C15" s="86" t="s">
        <v>43</v>
      </c>
      <c r="D15" s="31"/>
      <c r="E15" s="31"/>
      <c r="F15" s="31"/>
      <c r="G15" s="31"/>
      <c r="H15" s="31"/>
      <c r="I15" s="31"/>
      <c r="J15" s="32"/>
      <c r="L15" s="113"/>
      <c r="M15" s="90"/>
      <c r="N15" s="9"/>
      <c r="O15" s="11"/>
      <c r="P15" s="90"/>
      <c r="Q15" s="113"/>
      <c r="R15" s="90"/>
      <c r="T15" s="13"/>
      <c r="U15" s="5"/>
      <c r="W15" s="13"/>
      <c r="AP15" s="5"/>
      <c r="AQ15" s="5"/>
    </row>
    <row r="16" spans="2:108" s="2" customFormat="1" ht="24.95" customHeight="1">
      <c r="B16" s="28"/>
      <c r="C16" s="97"/>
      <c r="D16" s="97"/>
      <c r="E16" s="97"/>
      <c r="F16" s="97"/>
      <c r="G16" s="97"/>
      <c r="H16" s="97"/>
      <c r="I16" s="97"/>
      <c r="J16" s="97"/>
      <c r="L16" s="113"/>
      <c r="M16" s="90"/>
      <c r="N16" s="106" t="s">
        <v>44</v>
      </c>
      <c r="O16" s="12">
        <v>0.8</v>
      </c>
      <c r="P16" s="90"/>
      <c r="Q16" s="113"/>
      <c r="R16" s="90"/>
      <c r="S16" s="383" t="s">
        <v>45</v>
      </c>
      <c r="T16" s="383"/>
      <c r="U16" s="38"/>
      <c r="V16" s="385" t="s">
        <v>46</v>
      </c>
      <c r="W16" s="385"/>
    </row>
    <row r="17" spans="2:90" s="2" customFormat="1" ht="24.95" customHeight="1">
      <c r="B17" s="28"/>
      <c r="C17" s="97"/>
      <c r="D17" s="97"/>
      <c r="E17" s="97"/>
      <c r="F17" s="97"/>
      <c r="G17" s="97"/>
      <c r="H17" s="97"/>
      <c r="I17" s="97"/>
      <c r="J17" s="97"/>
      <c r="L17" s="113"/>
      <c r="M17" s="90"/>
      <c r="N17" s="88"/>
      <c r="O17" s="97"/>
      <c r="P17" s="90"/>
      <c r="Q17" s="113"/>
      <c r="R17" s="90"/>
      <c r="S17" s="376" t="s">
        <v>47</v>
      </c>
      <c r="T17" s="377"/>
      <c r="V17" s="376" t="s">
        <v>48</v>
      </c>
      <c r="W17" s="377"/>
      <c r="AS17" s="16"/>
      <c r="AT17" s="16"/>
    </row>
    <row r="18" spans="2:90" s="2" customFormat="1" ht="24.95" customHeight="1">
      <c r="B18" s="382" t="s">
        <v>49</v>
      </c>
      <c r="C18" s="382"/>
      <c r="D18" s="382"/>
      <c r="E18" s="382"/>
      <c r="F18" s="382"/>
      <c r="G18" s="382"/>
      <c r="H18" s="382"/>
      <c r="I18" s="382"/>
      <c r="J18" s="382"/>
      <c r="L18" s="113"/>
      <c r="M18" s="90"/>
      <c r="N18" s="388" t="s">
        <v>49</v>
      </c>
      <c r="O18" s="388"/>
      <c r="P18" s="90"/>
      <c r="Q18" s="113"/>
      <c r="R18" s="90"/>
      <c r="S18" s="378" t="s">
        <v>50</v>
      </c>
      <c r="T18" s="379"/>
      <c r="V18" s="378"/>
      <c r="W18" s="379"/>
    </row>
    <row r="19" spans="2:90" s="2" customFormat="1" ht="24.95" customHeight="1">
      <c r="B19" s="384" t="s">
        <v>51</v>
      </c>
      <c r="C19" s="384"/>
      <c r="D19" s="384"/>
      <c r="E19" s="384"/>
      <c r="F19" s="384"/>
      <c r="G19" s="384"/>
      <c r="H19" s="384"/>
      <c r="I19" s="384"/>
      <c r="J19" s="384"/>
      <c r="L19" s="113"/>
      <c r="M19" s="90"/>
      <c r="N19" s="384" t="s">
        <v>51</v>
      </c>
      <c r="O19" s="384"/>
      <c r="P19" s="90"/>
      <c r="Q19" s="113"/>
      <c r="R19" s="90"/>
      <c r="S19" s="378" t="s">
        <v>52</v>
      </c>
      <c r="T19" s="379"/>
      <c r="V19" s="378"/>
      <c r="W19" s="379"/>
      <c r="Y19" s="5"/>
      <c r="Z19" s="5"/>
      <c r="AA19" s="5"/>
      <c r="AB19" s="5"/>
      <c r="AC19" s="5"/>
      <c r="AD19" s="5"/>
      <c r="AE19" s="5"/>
      <c r="AF19" s="5"/>
      <c r="AG19" s="5"/>
      <c r="AH19" s="5"/>
      <c r="AI19" s="5"/>
      <c r="AJ19" s="5"/>
      <c r="AK19" s="5"/>
      <c r="AL19" s="5"/>
      <c r="AM19" s="5"/>
      <c r="AN19" s="5"/>
      <c r="AO19" s="5"/>
      <c r="AP19" s="5"/>
      <c r="AQ19" s="5"/>
      <c r="AR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row>
    <row r="20" spans="2:90" s="2" customFormat="1" ht="24.95" customHeight="1">
      <c r="B20" s="384"/>
      <c r="C20" s="384"/>
      <c r="D20" s="384"/>
      <c r="E20" s="384"/>
      <c r="F20" s="384"/>
      <c r="G20" s="384"/>
      <c r="H20" s="384"/>
      <c r="I20" s="384"/>
      <c r="J20" s="384"/>
      <c r="L20" s="113"/>
      <c r="M20" s="90"/>
      <c r="N20" s="389"/>
      <c r="O20" s="389"/>
      <c r="P20" s="90"/>
      <c r="Q20" s="113"/>
      <c r="R20" s="90"/>
      <c r="S20" s="378" t="s">
        <v>53</v>
      </c>
      <c r="T20" s="379"/>
      <c r="V20" s="378"/>
      <c r="W20" s="379"/>
      <c r="AS20" s="5"/>
      <c r="AT20" s="5"/>
    </row>
    <row r="21" spans="2:90" s="2" customFormat="1" ht="24.95" customHeight="1">
      <c r="B21" s="80" t="s">
        <v>54</v>
      </c>
      <c r="C21" s="39" t="s">
        <v>10</v>
      </c>
      <c r="D21" s="39" t="s">
        <v>11</v>
      </c>
      <c r="E21" s="39" t="s">
        <v>12</v>
      </c>
      <c r="F21" s="39" t="s">
        <v>13</v>
      </c>
      <c r="G21" s="39" t="s">
        <v>14</v>
      </c>
      <c r="H21" s="39" t="s">
        <v>15</v>
      </c>
      <c r="I21" s="39" t="s">
        <v>16</v>
      </c>
      <c r="J21" s="40" t="s">
        <v>17</v>
      </c>
      <c r="L21" s="113"/>
      <c r="M21" s="90"/>
      <c r="N21" s="386" t="s">
        <v>55</v>
      </c>
      <c r="O21" s="387"/>
      <c r="P21" s="90"/>
      <c r="Q21" s="113"/>
      <c r="R21" s="90"/>
      <c r="S21" s="378" t="s">
        <v>56</v>
      </c>
      <c r="T21" s="379"/>
      <c r="V21" s="378"/>
      <c r="W21" s="379"/>
      <c r="Y21" s="16"/>
      <c r="Z21" s="16"/>
      <c r="AA21" s="16"/>
      <c r="AB21" s="16"/>
      <c r="AC21" s="16"/>
      <c r="AD21" s="16"/>
      <c r="AE21" s="16"/>
      <c r="AF21" s="16"/>
      <c r="AG21" s="16"/>
      <c r="AH21" s="16"/>
      <c r="AI21" s="16"/>
      <c r="AJ21" s="16"/>
      <c r="AK21" s="16"/>
      <c r="AL21" s="16"/>
      <c r="AM21" s="16"/>
      <c r="AN21" s="16"/>
      <c r="AO21" s="16"/>
      <c r="AP21" s="16"/>
      <c r="AQ21" s="16"/>
      <c r="AR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row>
    <row r="22" spans="2:90" s="2" customFormat="1" ht="24.95" customHeight="1">
      <c r="B22" s="98" t="s">
        <v>57</v>
      </c>
      <c r="C22" s="45">
        <f>C6-C8</f>
        <v>6700</v>
      </c>
      <c r="D22" s="45">
        <f t="shared" ref="D22:J22" si="0">D6-D8</f>
        <v>700</v>
      </c>
      <c r="E22" s="45">
        <f t="shared" si="0"/>
        <v>1200</v>
      </c>
      <c r="F22" s="45">
        <f t="shared" si="0"/>
        <v>400</v>
      </c>
      <c r="G22" s="45">
        <f t="shared" si="0"/>
        <v>280</v>
      </c>
      <c r="H22" s="45">
        <f t="shared" si="0"/>
        <v>700</v>
      </c>
      <c r="I22" s="45">
        <f t="shared" si="0"/>
        <v>150</v>
      </c>
      <c r="J22" s="46">
        <f t="shared" si="0"/>
        <v>0</v>
      </c>
      <c r="L22" s="113"/>
      <c r="M22" s="90"/>
      <c r="N22" s="98" t="s">
        <v>58</v>
      </c>
      <c r="O22" s="60">
        <f>O6</f>
        <v>8474.0400000000009</v>
      </c>
      <c r="P22" s="90"/>
      <c r="Q22" s="113"/>
      <c r="R22" s="90"/>
      <c r="S22" s="378" t="s">
        <v>59</v>
      </c>
      <c r="T22" s="379"/>
      <c r="U22" s="4"/>
      <c r="V22" s="378"/>
      <c r="W22" s="379"/>
    </row>
    <row r="23" spans="2:90" s="2" customFormat="1" ht="24.95" customHeight="1">
      <c r="B23" s="99" t="s">
        <v>60</v>
      </c>
      <c r="C23" s="47">
        <f>C10</f>
        <v>0.8</v>
      </c>
      <c r="D23" s="47">
        <v>0.4</v>
      </c>
      <c r="E23" s="47">
        <f t="shared" ref="E23:J23" si="1">E10</f>
        <v>0.6</v>
      </c>
      <c r="F23" s="47">
        <f t="shared" si="1"/>
        <v>0.3</v>
      </c>
      <c r="G23" s="47">
        <f t="shared" si="1"/>
        <v>0.2</v>
      </c>
      <c r="H23" s="47">
        <f t="shared" si="1"/>
        <v>0.45</v>
      </c>
      <c r="I23" s="47">
        <f t="shared" si="1"/>
        <v>0.55000000000000004</v>
      </c>
      <c r="J23" s="48">
        <f t="shared" si="1"/>
        <v>0</v>
      </c>
      <c r="K23" s="21"/>
      <c r="L23" s="113"/>
      <c r="M23" s="90"/>
      <c r="N23" s="99" t="s">
        <v>61</v>
      </c>
      <c r="O23" s="67">
        <f>O8</f>
        <v>0.4</v>
      </c>
      <c r="P23" s="90"/>
      <c r="Q23" s="113"/>
      <c r="R23" s="90"/>
      <c r="S23" s="378" t="s">
        <v>62</v>
      </c>
      <c r="T23" s="379"/>
      <c r="U23" s="6"/>
      <c r="V23" s="378"/>
      <c r="W23" s="379"/>
    </row>
    <row r="24" spans="2:90" s="2" customFormat="1" ht="24.95" customHeight="1">
      <c r="B24" s="100" t="s">
        <v>63</v>
      </c>
      <c r="C24" s="50">
        <f>C22*C23</f>
        <v>5360</v>
      </c>
      <c r="D24" s="50">
        <f t="shared" ref="D24:I24" si="2">D22*D23</f>
        <v>280</v>
      </c>
      <c r="E24" s="50">
        <f t="shared" si="2"/>
        <v>720</v>
      </c>
      <c r="F24" s="50">
        <f t="shared" si="2"/>
        <v>120</v>
      </c>
      <c r="G24" s="50">
        <f t="shared" si="2"/>
        <v>56</v>
      </c>
      <c r="H24" s="50">
        <f t="shared" si="2"/>
        <v>315</v>
      </c>
      <c r="I24" s="50">
        <f t="shared" si="2"/>
        <v>82.5</v>
      </c>
      <c r="J24" s="51">
        <f>J22*J23</f>
        <v>0</v>
      </c>
      <c r="L24" s="113"/>
      <c r="M24" s="90"/>
      <c r="N24" s="100" t="s">
        <v>64</v>
      </c>
      <c r="O24" s="66">
        <f>O22*O23</f>
        <v>3389.6160000000004</v>
      </c>
      <c r="P24" s="90"/>
      <c r="Q24" s="113"/>
      <c r="R24" s="90"/>
      <c r="S24" s="378" t="s">
        <v>65</v>
      </c>
      <c r="T24" s="379"/>
      <c r="U24" s="6"/>
      <c r="V24" s="378"/>
      <c r="W24" s="379"/>
    </row>
    <row r="25" spans="2:90" s="2" customFormat="1" ht="24.95" customHeight="1">
      <c r="C25" s="13"/>
      <c r="D25" s="13"/>
      <c r="E25" s="13"/>
      <c r="F25" s="13"/>
      <c r="G25" s="13"/>
      <c r="H25" s="13"/>
      <c r="I25" s="13"/>
      <c r="J25" s="13"/>
      <c r="K25" s="22"/>
      <c r="L25" s="113"/>
      <c r="M25" s="90"/>
      <c r="P25" s="90"/>
      <c r="Q25" s="113"/>
      <c r="R25" s="90"/>
      <c r="S25" s="380" t="s">
        <v>66</v>
      </c>
      <c r="T25" s="381"/>
      <c r="U25" s="6"/>
      <c r="V25" s="380"/>
      <c r="W25" s="381"/>
    </row>
    <row r="26" spans="2:90" s="2" customFormat="1" ht="24.95" customHeight="1">
      <c r="B26" s="80" t="s">
        <v>67</v>
      </c>
      <c r="C26" s="39" t="s">
        <v>10</v>
      </c>
      <c r="D26" s="39" t="s">
        <v>11</v>
      </c>
      <c r="E26" s="39" t="s">
        <v>12</v>
      </c>
      <c r="F26" s="39" t="s">
        <v>13</v>
      </c>
      <c r="G26" s="39" t="s">
        <v>14</v>
      </c>
      <c r="H26" s="39" t="s">
        <v>15</v>
      </c>
      <c r="I26" s="39" t="s">
        <v>16</v>
      </c>
      <c r="J26" s="40" t="s">
        <v>17</v>
      </c>
      <c r="L26" s="113"/>
      <c r="M26" s="90"/>
      <c r="N26" s="386" t="s">
        <v>68</v>
      </c>
      <c r="O26" s="387"/>
      <c r="P26" s="90"/>
      <c r="Q26" s="113"/>
      <c r="R26" s="90"/>
      <c r="S26"/>
      <c r="T26"/>
      <c r="U26" s="6"/>
      <c r="V26" s="5"/>
      <c r="W26" s="5"/>
    </row>
    <row r="27" spans="2:90" s="2" customFormat="1" ht="24.95" customHeight="1">
      <c r="B27" s="99" t="s">
        <v>69</v>
      </c>
      <c r="C27" s="47">
        <f t="shared" ref="C27:J27" si="3">C12</f>
        <v>0.8</v>
      </c>
      <c r="D27" s="47">
        <f t="shared" si="3"/>
        <v>0.8</v>
      </c>
      <c r="E27" s="47">
        <f t="shared" si="3"/>
        <v>0.8</v>
      </c>
      <c r="F27" s="47">
        <f t="shared" si="3"/>
        <v>0.8</v>
      </c>
      <c r="G27" s="47">
        <f t="shared" si="3"/>
        <v>0.8</v>
      </c>
      <c r="H27" s="47">
        <f t="shared" si="3"/>
        <v>0.8</v>
      </c>
      <c r="I27" s="47">
        <f t="shared" si="3"/>
        <v>0.8</v>
      </c>
      <c r="J27" s="48">
        <f t="shared" si="3"/>
        <v>0</v>
      </c>
      <c r="L27" s="113"/>
      <c r="M27" s="90"/>
      <c r="N27" s="99" t="s">
        <v>70</v>
      </c>
      <c r="O27" s="68">
        <f>O10</f>
        <v>27</v>
      </c>
      <c r="P27" s="90"/>
      <c r="Q27" s="113"/>
      <c r="R27" s="90"/>
      <c r="S27" s="29"/>
      <c r="T27"/>
      <c r="U27" s="6"/>
      <c r="X27" s="5"/>
      <c r="Y27" s="5"/>
      <c r="Z27" s="5"/>
      <c r="AA27" s="5"/>
      <c r="AB27" s="5"/>
      <c r="AC27" s="5"/>
      <c r="AD27" s="5"/>
      <c r="AE27" s="5"/>
      <c r="AF27" s="5"/>
      <c r="AG27" s="5"/>
      <c r="AH27" s="5"/>
      <c r="AI27" s="5"/>
      <c r="AJ27" s="5"/>
      <c r="AK27" s="5"/>
      <c r="AL27" s="5"/>
      <c r="AM27" s="5"/>
      <c r="AN27" s="5"/>
      <c r="AO27" s="5"/>
      <c r="AP27" s="5"/>
      <c r="AQ27" s="5"/>
      <c r="AR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row>
    <row r="28" spans="2:90" s="2" customFormat="1" ht="24.95" customHeight="1">
      <c r="B28" s="100" t="s">
        <v>71</v>
      </c>
      <c r="C28" s="52">
        <f t="shared" ref="C28:J28" si="4">C24*C27</f>
        <v>4288</v>
      </c>
      <c r="D28" s="52">
        <f t="shared" si="4"/>
        <v>224</v>
      </c>
      <c r="E28" s="52">
        <f t="shared" si="4"/>
        <v>576</v>
      </c>
      <c r="F28" s="52">
        <f t="shared" si="4"/>
        <v>96</v>
      </c>
      <c r="G28" s="52">
        <f t="shared" si="4"/>
        <v>44.800000000000004</v>
      </c>
      <c r="H28" s="52">
        <f t="shared" si="4"/>
        <v>252</v>
      </c>
      <c r="I28" s="52">
        <f t="shared" si="4"/>
        <v>66</v>
      </c>
      <c r="J28" s="53">
        <f t="shared" si="4"/>
        <v>0</v>
      </c>
      <c r="L28" s="113"/>
      <c r="M28" s="90"/>
      <c r="N28" s="100" t="s">
        <v>72</v>
      </c>
      <c r="O28" s="66">
        <f>O24*O27</f>
        <v>91519.632000000012</v>
      </c>
      <c r="P28" s="90"/>
      <c r="Q28" s="113"/>
      <c r="R28" s="90"/>
      <c r="S28" s="29"/>
      <c r="T28"/>
      <c r="U28" s="6"/>
      <c r="V28" s="16"/>
      <c r="W28" s="16"/>
    </row>
    <row r="29" spans="2:90" s="2" customFormat="1" ht="24.95" customHeight="1">
      <c r="C29" s="13"/>
      <c r="D29" s="13"/>
      <c r="E29" s="13"/>
      <c r="F29" s="13"/>
      <c r="G29" s="13"/>
      <c r="H29" s="13"/>
      <c r="I29" s="13"/>
      <c r="J29" s="13"/>
      <c r="L29" s="113"/>
      <c r="M29" s="90"/>
      <c r="P29" s="90"/>
      <c r="Q29" s="113"/>
      <c r="R29" s="90"/>
      <c r="S29"/>
      <c r="T29"/>
      <c r="U29" s="6"/>
      <c r="V29" s="16"/>
      <c r="W29" s="16"/>
    </row>
    <row r="30" spans="2:90" s="2" customFormat="1" ht="24.95" customHeight="1">
      <c r="B30" s="80" t="s">
        <v>73</v>
      </c>
      <c r="C30" s="39" t="s">
        <v>10</v>
      </c>
      <c r="D30" s="39" t="s">
        <v>11</v>
      </c>
      <c r="E30" s="39" t="s">
        <v>12</v>
      </c>
      <c r="F30" s="39" t="s">
        <v>13</v>
      </c>
      <c r="G30" s="39" t="s">
        <v>14</v>
      </c>
      <c r="H30" s="39" t="s">
        <v>15</v>
      </c>
      <c r="I30" s="39" t="s">
        <v>16</v>
      </c>
      <c r="J30" s="40" t="s">
        <v>17</v>
      </c>
      <c r="L30" s="113"/>
      <c r="M30" s="90"/>
      <c r="N30" s="386" t="s">
        <v>74</v>
      </c>
      <c r="O30" s="387"/>
      <c r="P30" s="90"/>
      <c r="Q30" s="113"/>
      <c r="R30" s="90"/>
      <c r="S30"/>
      <c r="T30"/>
      <c r="V30" s="16"/>
      <c r="W30" s="16"/>
    </row>
    <row r="31" spans="2:90" s="2" customFormat="1" ht="24.95" customHeight="1">
      <c r="B31" s="99" t="s">
        <v>75</v>
      </c>
      <c r="C31" s="47">
        <v>0.6</v>
      </c>
      <c r="D31" s="47">
        <v>0.6</v>
      </c>
      <c r="E31" s="47">
        <v>0.2</v>
      </c>
      <c r="F31" s="47">
        <v>0.2</v>
      </c>
      <c r="G31" s="47">
        <v>0.7</v>
      </c>
      <c r="H31" s="47">
        <v>0.45</v>
      </c>
      <c r="I31" s="47">
        <v>0.6</v>
      </c>
      <c r="J31" s="48">
        <v>0</v>
      </c>
      <c r="L31" s="113"/>
      <c r="M31" s="90"/>
      <c r="N31" s="98" t="s">
        <v>76</v>
      </c>
      <c r="O31" s="60">
        <f>O12</f>
        <v>5</v>
      </c>
      <c r="P31" s="90"/>
      <c r="Q31" s="113"/>
      <c r="R31" s="90"/>
      <c r="S31"/>
      <c r="T31"/>
      <c r="U31" s="6"/>
      <c r="V31" s="16"/>
      <c r="W31" s="16"/>
    </row>
    <row r="32" spans="2:90" s="2" customFormat="1" ht="24.95" customHeight="1">
      <c r="B32" s="101" t="s">
        <v>77</v>
      </c>
      <c r="C32" s="54">
        <f t="shared" ref="C32:J32" si="5">C31*C28</f>
        <v>2572.7999999999997</v>
      </c>
      <c r="D32" s="54">
        <f t="shared" si="5"/>
        <v>134.4</v>
      </c>
      <c r="E32" s="54">
        <f t="shared" si="5"/>
        <v>115.2</v>
      </c>
      <c r="F32" s="54">
        <f t="shared" si="5"/>
        <v>19.200000000000003</v>
      </c>
      <c r="G32" s="54">
        <f t="shared" si="5"/>
        <v>31.36</v>
      </c>
      <c r="H32" s="54">
        <f t="shared" si="5"/>
        <v>113.4</v>
      </c>
      <c r="I32" s="54">
        <f t="shared" si="5"/>
        <v>39.6</v>
      </c>
      <c r="J32" s="55">
        <f t="shared" si="5"/>
        <v>0</v>
      </c>
      <c r="L32" s="113"/>
      <c r="M32" s="90"/>
      <c r="N32" s="98" t="s">
        <v>78</v>
      </c>
      <c r="O32" s="61">
        <f>IF(O14="Yes",O16, "N/A")</f>
        <v>0.8</v>
      </c>
      <c r="P32" s="90"/>
      <c r="Q32" s="113"/>
      <c r="R32" s="90"/>
      <c r="S32"/>
      <c r="T32"/>
      <c r="X32" s="5"/>
      <c r="Y32" s="5"/>
      <c r="Z32" s="5"/>
      <c r="AA32" s="5"/>
      <c r="AB32" s="5"/>
      <c r="AC32" s="5"/>
      <c r="AD32" s="5"/>
      <c r="AE32" s="5"/>
      <c r="AF32" s="5"/>
      <c r="AG32" s="5"/>
      <c r="AH32" s="5"/>
      <c r="AI32" s="5"/>
      <c r="AJ32" s="5"/>
      <c r="AK32" s="5"/>
      <c r="AL32" s="5"/>
      <c r="AM32" s="5"/>
      <c r="AN32" s="5"/>
      <c r="AO32" s="5"/>
      <c r="AP32" s="5"/>
      <c r="AQ32" s="5"/>
      <c r="AR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row>
    <row r="33" spans="1:90" s="2" customFormat="1" ht="24.95" customHeight="1">
      <c r="B33" s="102" t="s">
        <v>79</v>
      </c>
      <c r="C33" s="56">
        <f t="shared" ref="C33:J33" si="6">(1-C31)*C28</f>
        <v>1715.2</v>
      </c>
      <c r="D33" s="56">
        <f t="shared" si="6"/>
        <v>89.600000000000009</v>
      </c>
      <c r="E33" s="56">
        <f t="shared" si="6"/>
        <v>460.8</v>
      </c>
      <c r="F33" s="56">
        <f t="shared" si="6"/>
        <v>76.800000000000011</v>
      </c>
      <c r="G33" s="56">
        <f t="shared" si="6"/>
        <v>13.440000000000003</v>
      </c>
      <c r="H33" s="56">
        <f t="shared" si="6"/>
        <v>138.60000000000002</v>
      </c>
      <c r="I33" s="56">
        <f t="shared" si="6"/>
        <v>26.400000000000002</v>
      </c>
      <c r="J33" s="57">
        <f t="shared" si="6"/>
        <v>0</v>
      </c>
      <c r="L33" s="113"/>
      <c r="M33" s="90"/>
      <c r="N33" s="99" t="s">
        <v>80</v>
      </c>
      <c r="O33" s="65">
        <f>IF(O14="Yes",(O31*2)+(O32*O31*30),(O31*2))</f>
        <v>130</v>
      </c>
      <c r="P33" s="90"/>
      <c r="Q33" s="113"/>
      <c r="R33" s="90"/>
      <c r="S33"/>
      <c r="T33"/>
    </row>
    <row r="34" spans="1:90" s="2" customFormat="1" ht="24.95" customHeight="1">
      <c r="B34" s="1"/>
      <c r="C34" s="14"/>
      <c r="D34" s="14"/>
      <c r="E34" s="14"/>
      <c r="F34" s="14"/>
      <c r="G34" s="14"/>
      <c r="H34" s="14"/>
      <c r="I34" s="14"/>
      <c r="J34" s="14"/>
      <c r="L34" s="113"/>
      <c r="M34" s="90"/>
      <c r="N34" s="100" t="s">
        <v>81</v>
      </c>
      <c r="O34" s="64">
        <f>O28*O33</f>
        <v>11897552.160000002</v>
      </c>
      <c r="P34" s="90"/>
      <c r="Q34" s="113"/>
      <c r="R34" s="90"/>
      <c r="S34"/>
      <c r="T34"/>
      <c r="U34" s="6"/>
      <c r="V34" s="5"/>
      <c r="W34" s="5"/>
    </row>
    <row r="35" spans="1:90" s="2" customFormat="1" ht="24.95" customHeight="1">
      <c r="B35" s="80" t="s">
        <v>82</v>
      </c>
      <c r="C35" s="39" t="s">
        <v>10</v>
      </c>
      <c r="D35" s="39" t="s">
        <v>11</v>
      </c>
      <c r="E35" s="39" t="s">
        <v>12</v>
      </c>
      <c r="F35" s="39" t="s">
        <v>13</v>
      </c>
      <c r="G35" s="39" t="s">
        <v>14</v>
      </c>
      <c r="H35" s="39" t="s">
        <v>15</v>
      </c>
      <c r="I35" s="39" t="s">
        <v>16</v>
      </c>
      <c r="J35" s="40" t="s">
        <v>17</v>
      </c>
      <c r="L35" s="113"/>
      <c r="M35" s="90"/>
      <c r="O35" s="6"/>
      <c r="P35" s="90"/>
      <c r="Q35" s="113"/>
      <c r="R35" s="90"/>
      <c r="S35"/>
      <c r="T35"/>
      <c r="V35" s="5"/>
      <c r="W35" s="5"/>
      <c r="AS35" s="5"/>
      <c r="AT35" s="5"/>
    </row>
    <row r="36" spans="1:90" s="2" customFormat="1" ht="24.95" customHeight="1">
      <c r="A36"/>
      <c r="B36" s="98" t="s">
        <v>83</v>
      </c>
      <c r="C36" s="41">
        <v>30</v>
      </c>
      <c r="D36" s="41">
        <v>30</v>
      </c>
      <c r="E36" s="41">
        <v>30</v>
      </c>
      <c r="F36" s="41">
        <v>30</v>
      </c>
      <c r="G36" s="41">
        <v>30</v>
      </c>
      <c r="H36" s="41">
        <v>30</v>
      </c>
      <c r="I36" s="41">
        <v>30</v>
      </c>
      <c r="J36" s="42">
        <v>30</v>
      </c>
      <c r="K36"/>
      <c r="L36" s="108"/>
      <c r="M36"/>
      <c r="N36" s="386" t="s">
        <v>84</v>
      </c>
      <c r="O36" s="387"/>
      <c r="P36" s="90"/>
      <c r="Q36" s="108"/>
      <c r="R36" s="90"/>
      <c r="S36"/>
      <c r="T36"/>
      <c r="U36" s="6"/>
      <c r="V36" s="16"/>
      <c r="W36" s="16"/>
    </row>
    <row r="37" spans="1:90" ht="24.95" customHeight="1">
      <c r="B37" s="99" t="s">
        <v>85</v>
      </c>
      <c r="C37" s="58">
        <f t="shared" ref="C37:J37" si="7">C32</f>
        <v>2572.7999999999997</v>
      </c>
      <c r="D37" s="58">
        <f t="shared" si="7"/>
        <v>134.4</v>
      </c>
      <c r="E37" s="58">
        <f t="shared" si="7"/>
        <v>115.2</v>
      </c>
      <c r="F37" s="58">
        <f t="shared" si="7"/>
        <v>19.200000000000003</v>
      </c>
      <c r="G37" s="58">
        <f t="shared" si="7"/>
        <v>31.36</v>
      </c>
      <c r="H37" s="58">
        <f t="shared" si="7"/>
        <v>113.4</v>
      </c>
      <c r="I37" s="58">
        <f t="shared" si="7"/>
        <v>39.6</v>
      </c>
      <c r="J37" s="59">
        <f t="shared" si="7"/>
        <v>0</v>
      </c>
      <c r="N37" s="98" t="s">
        <v>86</v>
      </c>
      <c r="O37" s="62">
        <v>25000</v>
      </c>
      <c r="U37" s="2"/>
      <c r="V37" s="2"/>
      <c r="W37" s="2"/>
      <c r="X37" s="5"/>
      <c r="Y37" s="5"/>
      <c r="Z37" s="5"/>
      <c r="AA37" s="5"/>
      <c r="AB37" s="5"/>
      <c r="AC37" s="5"/>
      <c r="AD37" s="5"/>
      <c r="AE37" s="5"/>
      <c r="AF37" s="5"/>
      <c r="AG37" s="5"/>
      <c r="AH37" s="5"/>
      <c r="AI37" s="5"/>
      <c r="AJ37" s="5"/>
      <c r="AK37" s="5"/>
      <c r="AL37" s="5"/>
      <c r="AM37" s="5"/>
      <c r="AN37" s="5"/>
      <c r="AO37" s="5"/>
      <c r="AP37" s="5"/>
      <c r="AQ37" s="5"/>
      <c r="AR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row>
    <row r="38" spans="1:90" ht="24.95" customHeight="1">
      <c r="B38" s="103" t="s">
        <v>87</v>
      </c>
      <c r="C38" s="43">
        <f>C36*C37</f>
        <v>77183.999999999985</v>
      </c>
      <c r="D38" s="43">
        <f t="shared" ref="D38:I38" si="8">D36*D37</f>
        <v>4032</v>
      </c>
      <c r="E38" s="43">
        <f t="shared" si="8"/>
        <v>3456</v>
      </c>
      <c r="F38" s="43">
        <f t="shared" si="8"/>
        <v>576.00000000000011</v>
      </c>
      <c r="G38" s="43">
        <f t="shared" si="8"/>
        <v>940.8</v>
      </c>
      <c r="H38" s="43">
        <f t="shared" si="8"/>
        <v>3402</v>
      </c>
      <c r="I38" s="43">
        <f t="shared" si="8"/>
        <v>1188</v>
      </c>
      <c r="J38" s="44">
        <f>J36*J37</f>
        <v>0</v>
      </c>
      <c r="N38" s="98" t="s">
        <v>88</v>
      </c>
      <c r="O38" s="63">
        <v>200</v>
      </c>
      <c r="U38" s="2"/>
      <c r="V38" s="2"/>
      <c r="W38" s="2"/>
    </row>
    <row r="39" spans="1:90" ht="24.95" customHeight="1">
      <c r="N39" s="99" t="s">
        <v>89</v>
      </c>
      <c r="O39" s="65">
        <f>(ROUNDUP(O34/O37,0))</f>
        <v>476</v>
      </c>
      <c r="U39" s="3"/>
      <c r="V39" s="5"/>
      <c r="W39" s="5"/>
    </row>
    <row r="40" spans="1:90" ht="24.95" customHeight="1">
      <c r="B40" s="70" t="s">
        <v>90</v>
      </c>
      <c r="C40" s="71">
        <f>SUM(C37:J37)</f>
        <v>3025.9599999999996</v>
      </c>
      <c r="N40" s="100" t="s">
        <v>91</v>
      </c>
      <c r="O40" s="69">
        <f>O38*O39</f>
        <v>95200</v>
      </c>
      <c r="U40" s="3"/>
      <c r="V40" s="5"/>
      <c r="W40" s="5"/>
    </row>
    <row r="41" spans="1:90" ht="24.95" customHeight="1">
      <c r="B41" s="72" t="s">
        <v>92</v>
      </c>
      <c r="C41" s="73">
        <f>SUM(C38:J38)</f>
        <v>90778.799999999988</v>
      </c>
      <c r="D41" s="104" t="s">
        <v>93</v>
      </c>
      <c r="N41" s="1"/>
      <c r="O41" s="1"/>
      <c r="V41" s="2"/>
      <c r="W41" s="2"/>
    </row>
    <row r="42" spans="1:90" ht="24.95" customHeight="1">
      <c r="N42" s="386" t="s">
        <v>94</v>
      </c>
      <c r="O42" s="387"/>
      <c r="V42" s="2"/>
      <c r="W42" s="2"/>
    </row>
    <row r="43" spans="1:90" ht="24.95" customHeight="1">
      <c r="N43" s="98" t="s">
        <v>95</v>
      </c>
      <c r="O43" s="63">
        <v>30</v>
      </c>
      <c r="V43" s="1"/>
      <c r="W43" s="1"/>
    </row>
    <row r="44" spans="1:90" ht="24.95" customHeight="1">
      <c r="N44" s="99" t="s">
        <v>85</v>
      </c>
      <c r="O44" s="65">
        <f>O24</f>
        <v>3389.6160000000004</v>
      </c>
      <c r="V44" s="5"/>
      <c r="W44" s="5"/>
    </row>
    <row r="45" spans="1:90" ht="24.95" customHeight="1">
      <c r="N45" s="100" t="s">
        <v>87</v>
      </c>
      <c r="O45" s="69">
        <f>O43*O44</f>
        <v>101688.48000000001</v>
      </c>
    </row>
    <row r="46" spans="1:90" ht="24.95" customHeight="1">
      <c r="O46"/>
    </row>
    <row r="47" spans="1:90" ht="24.95" customHeight="1"/>
    <row r="48" spans="1:90" ht="24.95" customHeight="1"/>
    <row r="49" ht="24.95" customHeight="1"/>
    <row r="50" ht="24.95" customHeight="1"/>
    <row r="51" ht="24.95" customHeight="1"/>
    <row r="52" ht="24.95" customHeight="1"/>
    <row r="53" ht="24.95" customHeight="1"/>
    <row r="54" ht="24.95" customHeight="1"/>
    <row r="55" ht="24.95" customHeight="1"/>
    <row r="56" ht="24.95" customHeight="1"/>
    <row r="57" ht="24.95" customHeight="1"/>
    <row r="58" ht="24.95" customHeight="1"/>
    <row r="59" ht="24.95" customHeight="1"/>
    <row r="60" ht="24.95" customHeight="1"/>
    <row r="61" ht="24.95" customHeight="1"/>
    <row r="62" ht="24.95" customHeight="1"/>
    <row r="63" ht="24.95" customHeight="1"/>
    <row r="64"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row r="77" ht="24.95" customHeight="1"/>
    <row r="78" ht="24.95" customHeight="1"/>
    <row r="79" ht="24.95" customHeight="1"/>
    <row r="80"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row r="101" ht="24.95" customHeight="1"/>
    <row r="102" ht="24.95" customHeight="1"/>
    <row r="103" ht="24.95" customHeight="1"/>
    <row r="104" ht="24.95" customHeight="1"/>
    <row r="105" ht="24.95" customHeight="1"/>
    <row r="106" ht="24.95" customHeight="1"/>
    <row r="107" ht="24.95" customHeight="1"/>
    <row r="108" ht="24.95" customHeight="1"/>
    <row r="109" ht="24.95" customHeight="1"/>
    <row r="110" ht="24.95" customHeight="1"/>
    <row r="111" ht="24.95" customHeight="1"/>
    <row r="112"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row r="128" ht="24.95" customHeight="1"/>
    <row r="129" ht="24.95" customHeight="1"/>
    <row r="130" ht="24.95" customHeight="1"/>
    <row r="131" ht="24.95" customHeight="1"/>
    <row r="132" ht="24.95" customHeight="1"/>
    <row r="133" ht="24.95" customHeight="1"/>
    <row r="134" ht="24.95" customHeight="1"/>
    <row r="135" ht="24.95" customHeight="1"/>
    <row r="136" ht="24.95" customHeight="1"/>
    <row r="137" ht="24.95" customHeight="1"/>
    <row r="138" ht="24.95" customHeight="1"/>
    <row r="139" ht="24.95" customHeight="1"/>
    <row r="140" ht="24.95" customHeight="1"/>
    <row r="141" ht="24.95" customHeight="1"/>
    <row r="142" ht="24.95" customHeight="1"/>
    <row r="143" ht="24.95" customHeight="1"/>
    <row r="144" ht="24.95" customHeight="1"/>
    <row r="145" ht="24.95" customHeight="1"/>
    <row r="146" ht="24.95" customHeight="1"/>
    <row r="147" ht="24.95" customHeight="1"/>
    <row r="148" ht="24.95" customHeight="1"/>
    <row r="149" ht="24.95" customHeight="1"/>
    <row r="150" ht="24.95" customHeight="1"/>
    <row r="151" ht="24.95" customHeight="1"/>
    <row r="152" ht="24.95" customHeight="1"/>
    <row r="153" ht="24.95" customHeight="1"/>
    <row r="154" ht="24.95" customHeight="1"/>
    <row r="155" ht="24.95" customHeight="1"/>
    <row r="156" ht="24.95" customHeight="1"/>
    <row r="157" ht="24.95" customHeight="1"/>
    <row r="158" ht="24.95" customHeight="1"/>
    <row r="159" ht="24.95" customHeight="1"/>
    <row r="160" ht="24.95" customHeight="1"/>
    <row r="161" ht="24.95" customHeight="1"/>
    <row r="162" ht="24.95" customHeight="1"/>
    <row r="163" ht="21.95" customHeight="1"/>
    <row r="164" ht="21.95" customHeight="1"/>
    <row r="165" ht="21.95" customHeight="1"/>
    <row r="166" ht="21.95" customHeight="1"/>
  </sheetData>
  <mergeCells count="24">
    <mergeCell ref="S8:T9"/>
    <mergeCell ref="V8:W9"/>
    <mergeCell ref="N5:O5"/>
    <mergeCell ref="B3:J4"/>
    <mergeCell ref="S4:W4"/>
    <mergeCell ref="S5:W5"/>
    <mergeCell ref="B2:J2"/>
    <mergeCell ref="AS1:AT1"/>
    <mergeCell ref="N2:O2"/>
    <mergeCell ref="S2:W2"/>
    <mergeCell ref="N3:O4"/>
    <mergeCell ref="N36:O36"/>
    <mergeCell ref="N42:O42"/>
    <mergeCell ref="N18:O18"/>
    <mergeCell ref="N19:O20"/>
    <mergeCell ref="N21:O21"/>
    <mergeCell ref="N26:O26"/>
    <mergeCell ref="N30:O30"/>
    <mergeCell ref="V17:W25"/>
    <mergeCell ref="B18:J18"/>
    <mergeCell ref="S16:T16"/>
    <mergeCell ref="S17:T25"/>
    <mergeCell ref="B19:J20"/>
    <mergeCell ref="V16:W16"/>
  </mergeCells>
  <dataValidations count="1">
    <dataValidation type="list" allowBlank="1" showInputMessage="1" showErrorMessage="1" sqref="O14" xr:uid="{6D9C32C4-5F9A-43CD-833C-4B610BBB7C57}">
      <formula1>$DA$1:$DA$2</formula1>
    </dataValidation>
  </dataValidations>
  <hyperlinks>
    <hyperlink ref="C11" r:id="rId1" xr:uid="{7405B7F7-91CD-4BB5-81A9-16D23854E5A7}"/>
    <hyperlink ref="C15" r:id="rId2" xr:uid="{69BCAB83-783F-414E-944D-436EC298537E}"/>
  </hyperlinks>
  <pageMargins left="0.7" right="0.7" top="0.75" bottom="0.75" header="0.3" footer="0.3"/>
  <pageSetup orientation="portrait" r:id="rId3"/>
  <headerFooter>
    <oddFooter>&amp;L_x000D_&amp;1#&amp;"Calibri"&amp;10&amp;K000000 Classified as Microsoft Confidential</oddFooter>
  </headerFooter>
  <drawing r:id="rId4"/>
  <legacyDrawing r:id="rId5"/>
  <extLst>
    <ext xmlns:x14="http://schemas.microsoft.com/office/spreadsheetml/2009/9/main" uri="{78C0D931-6437-407d-A8EE-F0AAD7539E65}">
      <x14:conditionalFormattings>
        <x14:conditionalFormatting xmlns:xm="http://schemas.microsoft.com/office/excel/2006/main">
          <x14:cfRule type="containsText" priority="1" operator="containsText" id="{C808D8CE-FAF7-486B-B90F-014A311D7B80}">
            <xm:f>NOT(ISERROR(SEARCH("Copilot Chat",S16)))</xm:f>
            <xm:f>"Copilot Chat"</xm:f>
            <x14:dxf>
              <font>
                <b/>
                <i val="0"/>
                <strike val="0"/>
                <color theme="0"/>
              </font>
              <fill>
                <patternFill>
                  <bgColor rgb="FF9900FF"/>
                </patternFill>
              </fill>
            </x14:dxf>
          </x14:cfRule>
          <x14:cfRule type="containsText" priority="2" operator="containsText" id="{7EFA2942-60B7-4875-BCB6-64213FAF5199}">
            <xm:f>NOT(ISERROR(SEARCH("M365 Copilot",S16)))</xm:f>
            <xm:f>"M365 Copilot"</xm:f>
            <x14:dxf>
              <font>
                <b/>
                <i val="0"/>
                <strike val="0"/>
                <color theme="0"/>
              </font>
              <fill>
                <patternFill>
                  <bgColor theme="8" tint="0.39994506668294322"/>
                </patternFill>
              </fill>
            </x14:dxf>
          </x14:cfRule>
          <xm:sqref>S16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E65B-6504-4E6C-9FE6-FA0C15C8EE00}">
  <dimension ref="B1:X49"/>
  <sheetViews>
    <sheetView showGridLines="0" workbookViewId="0">
      <selection activeCell="N8" sqref="N8"/>
    </sheetView>
  </sheetViews>
  <sheetFormatPr defaultColWidth="8.85546875" defaultRowHeight="25.5"/>
  <cols>
    <col min="1" max="18" width="8.85546875" style="286"/>
    <col min="19" max="19" width="10.140625" style="286" customWidth="1"/>
    <col min="20" max="16384" width="8.85546875" style="286"/>
  </cols>
  <sheetData>
    <row r="1" spans="2:24" s="284" customFormat="1" ht="45" customHeight="1"/>
    <row r="2" spans="2:24" s="284" customFormat="1" ht="54.6" customHeight="1">
      <c r="B2" s="409" t="s">
        <v>96</v>
      </c>
      <c r="C2" s="409"/>
      <c r="D2" s="409"/>
      <c r="E2" s="409"/>
      <c r="F2" s="409"/>
      <c r="G2" s="409"/>
      <c r="H2" s="409"/>
      <c r="I2" s="409"/>
      <c r="J2" s="409"/>
      <c r="K2" s="409"/>
      <c r="L2" s="409"/>
      <c r="M2" s="409"/>
      <c r="N2" s="409"/>
      <c r="O2" s="409"/>
      <c r="P2" s="409"/>
      <c r="Q2" s="409"/>
      <c r="R2" s="409"/>
      <c r="S2" s="409"/>
      <c r="T2" s="409"/>
      <c r="U2" s="409"/>
      <c r="V2" s="409"/>
      <c r="W2" s="409"/>
      <c r="X2" s="409"/>
    </row>
    <row r="3" spans="2:24" s="284" customFormat="1" ht="45" customHeight="1">
      <c r="B3" s="410" t="s">
        <v>97</v>
      </c>
      <c r="C3" s="410"/>
      <c r="D3" s="410"/>
      <c r="E3" s="410"/>
      <c r="F3" s="410"/>
      <c r="G3" s="410"/>
      <c r="H3" s="410"/>
      <c r="I3" s="410"/>
      <c r="J3" s="410"/>
      <c r="K3" s="410"/>
      <c r="L3" s="410"/>
      <c r="M3" s="410"/>
      <c r="N3" s="410"/>
      <c r="O3" s="410"/>
      <c r="P3" s="410"/>
      <c r="Q3" s="410"/>
      <c r="R3" s="410"/>
      <c r="S3" s="410"/>
      <c r="T3" s="410"/>
      <c r="U3" s="410"/>
      <c r="V3" s="410"/>
      <c r="W3" s="410"/>
      <c r="X3" s="410"/>
    </row>
    <row r="4" spans="2:24" s="284" customFormat="1" ht="45" customHeight="1">
      <c r="B4" s="302" t="s">
        <v>98</v>
      </c>
      <c r="L4" s="285" t="s">
        <v>99</v>
      </c>
      <c r="P4" s="284" t="s">
        <v>100</v>
      </c>
      <c r="T4" s="285" t="s">
        <v>101</v>
      </c>
    </row>
    <row r="5" spans="2:24" s="284" customFormat="1" ht="45" customHeight="1"/>
    <row r="6" spans="2:24" s="284" customFormat="1" ht="45" customHeight="1"/>
    <row r="7" spans="2:24" s="284" customFormat="1" ht="45" customHeight="1"/>
    <row r="8" spans="2:24" s="284" customFormat="1" ht="45" customHeight="1"/>
    <row r="9" spans="2:24" s="284" customFormat="1" ht="45" customHeight="1"/>
    <row r="10" spans="2:24" s="284" customFormat="1" ht="45" customHeight="1"/>
    <row r="11" spans="2:24" s="284" customFormat="1" ht="45" customHeight="1"/>
    <row r="12" spans="2:24" s="284" customFormat="1" ht="45" customHeight="1"/>
    <row r="13" spans="2:24" s="284" customFormat="1" ht="45" customHeight="1"/>
    <row r="14" spans="2:24" s="284" customFormat="1" ht="45" customHeight="1"/>
    <row r="15" spans="2:24" s="284" customFormat="1" ht="45" customHeight="1"/>
    <row r="16" spans="2:24" s="284" customFormat="1" ht="45" customHeight="1"/>
    <row r="17" s="284" customFormat="1" ht="45" customHeight="1"/>
    <row r="18" s="284" customFormat="1" ht="45" customHeight="1"/>
    <row r="19" s="284" customFormat="1" ht="45" customHeight="1"/>
    <row r="20" s="284" customFormat="1" ht="45" customHeight="1"/>
    <row r="21" s="284" customFormat="1" ht="45" customHeight="1"/>
    <row r="22" s="284" customFormat="1" ht="45" customHeight="1"/>
    <row r="23" s="284" customFormat="1" ht="45" customHeight="1"/>
    <row r="24" s="284" customFormat="1" ht="45" customHeight="1"/>
    <row r="25" s="284" customFormat="1" ht="45" customHeight="1"/>
    <row r="26" s="284" customFormat="1" ht="45" customHeight="1"/>
    <row r="27" s="284" customFormat="1" ht="45" customHeight="1"/>
    <row r="28" s="284" customFormat="1" ht="45" customHeight="1"/>
    <row r="29" s="284" customFormat="1" ht="45" customHeight="1"/>
    <row r="30" s="284" customFormat="1" ht="45" customHeight="1"/>
    <row r="31" s="284" customFormat="1" ht="45" customHeight="1"/>
    <row r="32" s="284" customFormat="1" ht="45" customHeight="1"/>
    <row r="33" s="284" customFormat="1" ht="45" customHeight="1"/>
    <row r="34" s="284" customFormat="1" ht="45" customHeight="1"/>
    <row r="35" s="284" customFormat="1" ht="45" customHeight="1"/>
    <row r="36" s="284" customFormat="1" ht="45" customHeight="1"/>
    <row r="37" s="284" customFormat="1" ht="45" customHeight="1"/>
    <row r="38" s="284" customFormat="1" ht="45" customHeight="1"/>
    <row r="39" s="284" customFormat="1" ht="45" customHeight="1"/>
    <row r="40" s="284" customFormat="1" ht="45" customHeight="1"/>
    <row r="41" s="284" customFormat="1" ht="45" customHeight="1"/>
    <row r="42" s="284" customFormat="1" ht="45" customHeight="1"/>
    <row r="43" s="284" customFormat="1" ht="45" customHeight="1"/>
    <row r="44" s="284" customFormat="1" ht="45" customHeight="1"/>
    <row r="45" s="284" customFormat="1" ht="45" customHeight="1"/>
    <row r="46" s="284" customFormat="1" ht="45" customHeight="1"/>
    <row r="47" s="284" customFormat="1" ht="45" customHeight="1"/>
    <row r="48" s="284" customFormat="1" ht="45" customHeight="1"/>
    <row r="49" s="284" customFormat="1" ht="45" customHeight="1"/>
  </sheetData>
  <sheetProtection algorithmName="SHA-512" hashValue="4ZiGo5M+qvLEHnNAwjIc9xHnAR2ByyY4QK4kGM61cmi2iVuJwoOK+IZBG6SLr/uX1+q/7Na9mye28eO9iNzPng==" saltValue="KL/Ek8y2SiQQFStfzis2EQ==" spinCount="100000" sheet="1" objects="1" scenarios="1"/>
  <mergeCells count="2">
    <mergeCell ref="B2:X2"/>
    <mergeCell ref="B3:X3"/>
  </mergeCells>
  <hyperlinks>
    <hyperlink ref="L4" r:id="rId1" xr:uid="{639386EE-7405-4093-8736-A101D1ADBCFE}"/>
    <hyperlink ref="T4" r:id="rId2" xr:uid="{9D450A3E-F37C-419A-9ADB-53C2AD3FDF33}"/>
  </hyperlinks>
  <pageMargins left="0.7" right="0.7" top="0.75" bottom="0.75" header="0.3" footer="0.3"/>
  <headerFooter>
    <oddFooter>&amp;L_x000D_&amp;1#&amp;"Calibri"&amp;10&amp;K000000 Classified as Microsoft Confidential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53B9-C64D-42F4-BDEC-97E3CAC4C925}">
  <dimension ref="A1:DS170"/>
  <sheetViews>
    <sheetView showGridLines="0" showRowColHeaders="0" tabSelected="1" topLeftCell="S1" zoomScale="110" zoomScaleNormal="110" workbookViewId="0">
      <selection activeCell="AC14" sqref="AC14"/>
    </sheetView>
  </sheetViews>
  <sheetFormatPr defaultColWidth="8.85546875" defaultRowHeight="16.5"/>
  <cols>
    <col min="1" max="1" width="6" style="124" customWidth="1"/>
    <col min="2" max="2" width="5.5703125" style="124" customWidth="1"/>
    <col min="3" max="3" width="82.85546875" style="124" customWidth="1"/>
    <col min="4" max="4" width="5.85546875" style="124" customWidth="1"/>
    <col min="5" max="12" width="11.5703125" style="275" customWidth="1"/>
    <col min="13" max="13" width="3.85546875" style="275" customWidth="1"/>
    <col min="14" max="14" width="8.140625" style="124" customWidth="1"/>
    <col min="15" max="15" width="9.140625" style="115" customWidth="1"/>
    <col min="16" max="16" width="2.5703125" style="133" customWidth="1"/>
    <col min="17" max="17" width="8.85546875" style="133" customWidth="1"/>
    <col min="18" max="18" width="6.5703125" style="133" customWidth="1"/>
    <col min="19" max="19" width="83.42578125" style="133" customWidth="1"/>
    <col min="20" max="20" width="22.42578125" style="133" customWidth="1"/>
    <col min="21" max="21" width="18.140625" style="283" customWidth="1"/>
    <col min="22" max="22" width="8.85546875" style="283" customWidth="1"/>
    <col min="23" max="23" width="13" style="133" customWidth="1"/>
    <col min="24" max="24" width="11" style="115" customWidth="1"/>
    <col min="25" max="25" width="9.140625" style="130" customWidth="1"/>
    <col min="26" max="26" width="4.5703125" style="130" customWidth="1"/>
    <col min="27" max="27" width="48.85546875" style="130" customWidth="1"/>
    <col min="28" max="28" width="10.140625" style="130" customWidth="1"/>
    <col min="29" max="29" width="12.5703125" style="130" bestFit="1" customWidth="1"/>
    <col min="30" max="30" width="9" style="130" customWidth="1"/>
    <col min="31" max="31" width="8.42578125" style="130" customWidth="1"/>
    <col min="32" max="32" width="4" style="130" customWidth="1"/>
    <col min="33" max="33" width="5.85546875" style="130" customWidth="1"/>
    <col min="34" max="34" width="45.85546875" style="130" customWidth="1"/>
    <col min="35" max="35" width="18.85546875" style="130" customWidth="1"/>
    <col min="36" max="36" width="5.140625" style="130" customWidth="1"/>
    <col min="37" max="37" width="10.85546875" style="130" customWidth="1"/>
    <col min="38" max="55" width="39.85546875" style="115" customWidth="1"/>
    <col min="56" max="105" width="9.85546875" style="115" customWidth="1"/>
    <col min="106" max="106" width="10.140625" style="115" customWidth="1"/>
    <col min="107" max="122" width="8.85546875" style="115"/>
    <col min="123" max="123" width="9.42578125" style="115" bestFit="1" customWidth="1"/>
    <col min="124" max="16384" width="8.85546875" style="115"/>
  </cols>
  <sheetData>
    <row r="1" spans="1:123" ht="21" customHeight="1">
      <c r="A1" s="115"/>
      <c r="B1" s="115"/>
      <c r="C1" s="115"/>
      <c r="D1" s="115"/>
      <c r="E1" s="116"/>
      <c r="F1" s="116"/>
      <c r="G1" s="116"/>
      <c r="H1" s="116"/>
      <c r="I1" s="116"/>
      <c r="J1" s="116"/>
      <c r="K1" s="116"/>
      <c r="L1" s="116"/>
      <c r="M1" s="116"/>
      <c r="N1" s="115"/>
      <c r="P1" s="115"/>
      <c r="Q1" s="115"/>
      <c r="R1" s="115"/>
      <c r="S1" s="115"/>
      <c r="T1" s="115"/>
      <c r="U1" s="116"/>
      <c r="V1" s="116"/>
      <c r="W1" s="115"/>
      <c r="Y1" s="115"/>
      <c r="Z1" s="115"/>
      <c r="AA1" s="115"/>
      <c r="AB1" s="115"/>
      <c r="AC1" s="115"/>
      <c r="AD1" s="115"/>
      <c r="AE1" s="115"/>
      <c r="AF1" s="115"/>
      <c r="AG1" s="115"/>
      <c r="AH1" s="115"/>
      <c r="AI1" s="115"/>
      <c r="AJ1" s="115"/>
      <c r="AK1" s="115"/>
      <c r="AV1" s="115" t="s">
        <v>0</v>
      </c>
      <c r="BH1" s="319"/>
      <c r="BI1" s="319"/>
      <c r="BQ1" s="118"/>
      <c r="DS1" s="119" t="s">
        <v>102</v>
      </c>
    </row>
    <row r="2" spans="1:123" ht="104.45" customHeight="1">
      <c r="A2" s="115"/>
      <c r="B2" s="115"/>
      <c r="C2" s="320" t="s">
        <v>103</v>
      </c>
      <c r="D2" s="320"/>
      <c r="E2" s="320"/>
      <c r="F2" s="320"/>
      <c r="G2" s="320"/>
      <c r="H2" s="320"/>
      <c r="I2" s="320"/>
      <c r="J2" s="320"/>
      <c r="K2" s="320"/>
      <c r="L2" s="320"/>
      <c r="M2" s="120"/>
      <c r="N2" s="121"/>
      <c r="O2" s="121"/>
      <c r="P2" s="121"/>
      <c r="Q2" s="121"/>
      <c r="R2" s="121"/>
      <c r="S2" s="320" t="s">
        <v>104</v>
      </c>
      <c r="T2" s="320"/>
      <c r="U2" s="320"/>
      <c r="V2" s="120"/>
      <c r="W2" s="122"/>
      <c r="X2" s="122"/>
      <c r="Y2" s="122"/>
      <c r="Z2" s="122"/>
      <c r="AA2" s="320" t="s">
        <v>105</v>
      </c>
      <c r="AB2" s="320"/>
      <c r="AC2" s="320"/>
      <c r="AD2" s="320"/>
      <c r="AE2" s="320"/>
      <c r="AF2" s="320"/>
      <c r="AG2" s="320"/>
      <c r="AH2" s="320"/>
      <c r="AI2" s="320"/>
      <c r="AJ2" s="120"/>
      <c r="AK2" s="115"/>
      <c r="AV2" s="115" t="s">
        <v>4</v>
      </c>
      <c r="BH2" s="118"/>
      <c r="BI2" s="119"/>
      <c r="DS2" s="123" t="str">
        <f>TEXT(AI17,"###,###")</f>
        <v>2,826</v>
      </c>
    </row>
    <row r="3" spans="1:123" ht="12.95" customHeight="1">
      <c r="A3" s="115"/>
      <c r="B3" s="115"/>
      <c r="C3" s="120"/>
      <c r="D3" s="120"/>
      <c r="E3" s="120"/>
      <c r="F3" s="120"/>
      <c r="G3" s="120"/>
      <c r="H3" s="120"/>
      <c r="I3" s="120"/>
      <c r="J3" s="120"/>
      <c r="K3" s="120"/>
      <c r="L3" s="120"/>
      <c r="M3" s="120"/>
      <c r="N3" s="121"/>
      <c r="O3" s="121"/>
      <c r="P3" s="121"/>
      <c r="Q3" s="121"/>
      <c r="R3" s="121"/>
      <c r="S3" s="120"/>
      <c r="T3" s="120"/>
      <c r="U3" s="120"/>
      <c r="V3" s="120"/>
      <c r="W3" s="122"/>
      <c r="X3" s="122"/>
      <c r="Y3" s="122"/>
      <c r="Z3" s="122"/>
      <c r="AA3" s="120"/>
      <c r="AB3" s="120"/>
      <c r="AC3" s="120"/>
      <c r="AD3" s="120"/>
      <c r="AE3" s="120"/>
      <c r="AF3" s="120"/>
      <c r="AG3" s="120"/>
      <c r="AH3" s="120"/>
      <c r="AI3" s="120"/>
      <c r="AJ3" s="120"/>
      <c r="AK3" s="115"/>
      <c r="BH3" s="118"/>
      <c r="BI3" s="119"/>
      <c r="DS3" s="123"/>
    </row>
    <row r="4" spans="1:123" ht="24" customHeight="1">
      <c r="C4" s="125"/>
      <c r="D4" s="125"/>
      <c r="E4" s="125"/>
      <c r="F4" s="125"/>
      <c r="G4" s="125"/>
      <c r="H4" s="125"/>
      <c r="I4" s="125"/>
      <c r="J4" s="125"/>
      <c r="K4" s="125"/>
      <c r="L4" s="125"/>
      <c r="M4" s="125"/>
      <c r="N4" s="126"/>
      <c r="O4" s="119"/>
      <c r="P4" s="127"/>
      <c r="Q4" s="127"/>
      <c r="R4" s="127"/>
      <c r="S4" s="128"/>
      <c r="T4" s="128"/>
      <c r="U4" s="128"/>
      <c r="V4" s="128"/>
      <c r="W4" s="127"/>
      <c r="X4" s="119"/>
      <c r="Y4" s="129"/>
      <c r="Z4" s="129"/>
      <c r="AB4" s="131"/>
      <c r="AC4" s="131"/>
      <c r="AD4" s="131"/>
      <c r="AE4" s="131"/>
      <c r="AF4" s="131"/>
      <c r="BH4" s="118"/>
      <c r="DS4" s="119" t="s">
        <v>106</v>
      </c>
    </row>
    <row r="5" spans="1:123" ht="22.5" customHeight="1">
      <c r="B5" s="321"/>
      <c r="C5" s="321"/>
      <c r="D5" s="321"/>
      <c r="E5" s="321"/>
      <c r="F5" s="321"/>
      <c r="G5" s="321"/>
      <c r="H5" s="321"/>
      <c r="I5" s="321"/>
      <c r="J5" s="321"/>
      <c r="K5" s="321"/>
      <c r="L5" s="321"/>
      <c r="M5" s="132"/>
      <c r="Q5" s="127"/>
      <c r="R5" s="134" t="s">
        <v>107</v>
      </c>
      <c r="S5" s="134"/>
      <c r="T5" s="134"/>
      <c r="U5" s="134"/>
      <c r="V5" s="134"/>
      <c r="Z5" s="115"/>
      <c r="AA5" s="117"/>
      <c r="AB5" s="117"/>
      <c r="AC5" s="117"/>
      <c r="AD5" s="117"/>
      <c r="AE5" s="117"/>
      <c r="AF5" s="117"/>
      <c r="AG5" s="115"/>
      <c r="AH5" s="115"/>
      <c r="AI5" s="115"/>
      <c r="AJ5" s="115"/>
      <c r="BE5" s="118"/>
      <c r="DP5" s="119"/>
    </row>
    <row r="6" spans="1:123" ht="19.5" customHeight="1">
      <c r="B6" s="317" t="s">
        <v>5</v>
      </c>
      <c r="C6" s="317"/>
      <c r="D6" s="317"/>
      <c r="E6" s="317"/>
      <c r="F6" s="317"/>
      <c r="G6" s="317"/>
      <c r="H6" s="317"/>
      <c r="I6" s="317"/>
      <c r="J6" s="317"/>
      <c r="K6" s="317"/>
      <c r="L6" s="317"/>
      <c r="M6" s="132"/>
      <c r="Q6" s="127"/>
      <c r="R6" s="134"/>
      <c r="S6" s="318" t="s">
        <v>108</v>
      </c>
      <c r="T6" s="318"/>
      <c r="U6" s="318"/>
      <c r="V6" s="134"/>
      <c r="Z6" s="115"/>
      <c r="AA6" s="135" t="s">
        <v>109</v>
      </c>
      <c r="AB6" s="117"/>
      <c r="AC6" s="117"/>
      <c r="AD6" s="117"/>
      <c r="AE6" s="117"/>
      <c r="AF6" s="117"/>
      <c r="AG6" s="115"/>
      <c r="AH6" s="115"/>
      <c r="AI6" s="115"/>
      <c r="AJ6" s="115"/>
      <c r="BE6" s="118"/>
      <c r="DP6" s="119"/>
    </row>
    <row r="7" spans="1:123" ht="27" customHeight="1">
      <c r="B7" s="115"/>
      <c r="C7" s="136"/>
      <c r="D7" s="136"/>
      <c r="E7" s="136"/>
      <c r="F7" s="136"/>
      <c r="G7" s="136"/>
      <c r="H7" s="136"/>
      <c r="I7" s="136"/>
      <c r="J7" s="136"/>
      <c r="K7" s="136"/>
      <c r="L7" s="136"/>
      <c r="M7" s="136"/>
      <c r="R7" s="115"/>
      <c r="S7" s="324" t="s">
        <v>110</v>
      </c>
      <c r="T7" s="324"/>
      <c r="U7" s="324"/>
      <c r="V7" s="137"/>
      <c r="Z7" s="115"/>
      <c r="AA7" s="325" t="s">
        <v>111</v>
      </c>
      <c r="AB7" s="325"/>
      <c r="AC7" s="325"/>
      <c r="AD7" s="325"/>
      <c r="AE7" s="325"/>
      <c r="AF7" s="325"/>
      <c r="AG7" s="325"/>
      <c r="AH7" s="325"/>
      <c r="AI7" s="325"/>
      <c r="AJ7" s="115"/>
      <c r="BE7" s="118"/>
      <c r="DP7" s="119"/>
    </row>
    <row r="8" spans="1:123" ht="33.6" customHeight="1">
      <c r="B8" s="138"/>
      <c r="C8" s="139" t="s">
        <v>9</v>
      </c>
      <c r="D8" s="139"/>
      <c r="E8" s="139" t="s">
        <v>10</v>
      </c>
      <c r="F8" s="139" t="s">
        <v>11</v>
      </c>
      <c r="G8" s="140" t="s">
        <v>12</v>
      </c>
      <c r="H8" s="139" t="s">
        <v>13</v>
      </c>
      <c r="I8" s="139" t="s">
        <v>14</v>
      </c>
      <c r="J8" s="139" t="s">
        <v>15</v>
      </c>
      <c r="K8" s="139" t="s">
        <v>16</v>
      </c>
      <c r="L8" s="139" t="s">
        <v>17</v>
      </c>
      <c r="M8" s="141"/>
      <c r="R8" s="142"/>
      <c r="S8" s="326" t="s">
        <v>9</v>
      </c>
      <c r="T8" s="326"/>
      <c r="U8" s="326"/>
      <c r="V8" s="143"/>
      <c r="W8" s="144"/>
      <c r="Z8" s="142"/>
      <c r="AA8" s="325" t="str">
        <f>"Advanced Microsoft Copilot capabilities in applications and agents for "&amp;TEXT(AC15,"##%")&amp;" of employees"</f>
        <v>Advanced Microsoft Copilot capabilities in applications and agents for 36% of employees</v>
      </c>
      <c r="AB8" s="325"/>
      <c r="AC8" s="325"/>
      <c r="AD8" s="325"/>
      <c r="AE8" s="325"/>
      <c r="AF8" s="325"/>
      <c r="AG8" s="325"/>
      <c r="AH8" s="325"/>
      <c r="AI8" s="325"/>
      <c r="AJ8" s="115"/>
      <c r="BE8" s="118"/>
      <c r="CY8" s="119"/>
      <c r="DP8" s="118" t="s">
        <v>112</v>
      </c>
      <c r="DQ8" s="145"/>
    </row>
    <row r="9" spans="1:123" s="150" customFormat="1" ht="24.95" customHeight="1">
      <c r="A9" s="146"/>
      <c r="B9" s="288">
        <v>1</v>
      </c>
      <c r="C9" s="287" t="s">
        <v>113</v>
      </c>
      <c r="D9" s="148"/>
      <c r="E9" s="303">
        <v>7000</v>
      </c>
      <c r="F9" s="303">
        <v>1000</v>
      </c>
      <c r="G9" s="303">
        <v>1500</v>
      </c>
      <c r="H9" s="303">
        <v>500</v>
      </c>
      <c r="I9" s="303">
        <v>200</v>
      </c>
      <c r="J9" s="303">
        <v>1000</v>
      </c>
      <c r="K9" s="304">
        <v>200</v>
      </c>
      <c r="L9" s="303">
        <v>500</v>
      </c>
      <c r="M9" s="149"/>
      <c r="N9" s="146"/>
      <c r="P9" s="151"/>
      <c r="Q9" s="151"/>
      <c r="R9" s="296">
        <v>1</v>
      </c>
      <c r="S9" s="295" t="s">
        <v>114</v>
      </c>
      <c r="T9" s="152"/>
      <c r="U9" s="310">
        <f>(SUM(E26:L26))-(SUM(E41:L41))</f>
        <v>5976.7400000000007</v>
      </c>
      <c r="V9" s="153"/>
      <c r="W9" s="151"/>
      <c r="Y9" s="154"/>
      <c r="AA9" s="327" t="str">
        <f xml:space="preserve"> "For a total monthly cost of $" &amp; TEXT(SUM(AC13,AI13), "#,###,###")</f>
        <v>For a total monthly cost of $171,848</v>
      </c>
      <c r="AB9" s="327"/>
      <c r="AC9" s="327"/>
      <c r="AD9" s="327"/>
      <c r="AE9" s="327"/>
      <c r="AF9" s="327"/>
      <c r="AG9" s="327"/>
      <c r="AH9" s="327"/>
      <c r="AI9" s="327"/>
      <c r="AJ9" s="115"/>
      <c r="AK9" s="154"/>
      <c r="BE9" s="118"/>
      <c r="CY9" s="119"/>
      <c r="DP9" s="145"/>
      <c r="DQ9" s="145"/>
    </row>
    <row r="10" spans="1:123" s="150" customFormat="1" ht="24.95" customHeight="1">
      <c r="A10" s="146"/>
      <c r="B10" s="147"/>
      <c r="C10" s="155"/>
      <c r="D10" s="155"/>
      <c r="E10" s="149"/>
      <c r="F10" s="149"/>
      <c r="G10" s="149"/>
      <c r="H10" s="149"/>
      <c r="I10" s="149"/>
      <c r="J10" s="149"/>
      <c r="K10" s="149"/>
      <c r="L10" s="149"/>
      <c r="M10" s="149"/>
      <c r="N10" s="146"/>
      <c r="P10" s="151"/>
      <c r="Q10" s="151"/>
      <c r="R10" s="156"/>
      <c r="S10" s="155"/>
      <c r="T10" s="155"/>
      <c r="U10" s="157"/>
      <c r="V10" s="158"/>
      <c r="W10" s="151"/>
      <c r="Y10" s="154"/>
      <c r="Z10" s="154"/>
      <c r="AA10" s="131"/>
      <c r="AB10" s="131"/>
      <c r="AC10" s="131"/>
      <c r="AD10" s="131"/>
      <c r="AE10" s="131"/>
      <c r="AF10" s="131"/>
      <c r="AG10" s="130"/>
      <c r="AH10" s="130"/>
      <c r="AI10" s="130"/>
      <c r="AJ10" s="130"/>
      <c r="AK10" s="154"/>
      <c r="BE10" s="118"/>
      <c r="CY10" s="118"/>
      <c r="DP10" s="118" t="s">
        <v>0</v>
      </c>
      <c r="DQ10" s="145"/>
    </row>
    <row r="11" spans="1:123" s="145" customFormat="1" ht="24.95" customHeight="1">
      <c r="A11" s="159"/>
      <c r="B11" s="288">
        <v>2</v>
      </c>
      <c r="C11" s="287" t="s">
        <v>115</v>
      </c>
      <c r="D11" s="148"/>
      <c r="E11" s="303">
        <v>500</v>
      </c>
      <c r="F11" s="303">
        <v>300</v>
      </c>
      <c r="G11" s="303">
        <v>300</v>
      </c>
      <c r="H11" s="303">
        <v>100</v>
      </c>
      <c r="I11" s="303">
        <v>20</v>
      </c>
      <c r="J11" s="303">
        <v>300</v>
      </c>
      <c r="K11" s="304">
        <v>50</v>
      </c>
      <c r="L11" s="303">
        <v>25</v>
      </c>
      <c r="M11" s="149"/>
      <c r="N11" s="159"/>
      <c r="P11" s="160"/>
      <c r="Q11" s="160"/>
      <c r="R11" s="296">
        <v>2</v>
      </c>
      <c r="S11" s="295" t="s">
        <v>116</v>
      </c>
      <c r="T11" s="152"/>
      <c r="U11" s="311">
        <v>0.25</v>
      </c>
      <c r="V11" s="161"/>
      <c r="W11" s="151"/>
      <c r="Y11" s="162"/>
      <c r="Z11" s="150"/>
      <c r="AA11" s="328" t="s">
        <v>22</v>
      </c>
      <c r="AB11" s="328"/>
      <c r="AC11" s="328"/>
      <c r="AD11" s="117"/>
      <c r="AE11" s="163"/>
      <c r="AF11" s="163"/>
      <c r="AG11" s="164"/>
      <c r="AH11" s="330" t="s">
        <v>23</v>
      </c>
      <c r="AI11" s="331"/>
      <c r="AJ11" s="120"/>
      <c r="AK11" s="162"/>
      <c r="BE11" s="118"/>
      <c r="CY11" s="118"/>
      <c r="DP11" s="145" t="s">
        <v>4</v>
      </c>
    </row>
    <row r="12" spans="1:123" s="118" customFormat="1" ht="24.95" customHeight="1">
      <c r="A12" s="165"/>
      <c r="B12" s="166"/>
      <c r="C12" s="155"/>
      <c r="D12" s="155"/>
      <c r="E12" s="157"/>
      <c r="F12" s="157"/>
      <c r="G12" s="157"/>
      <c r="H12" s="157"/>
      <c r="I12" s="157"/>
      <c r="J12" s="157"/>
      <c r="K12" s="157"/>
      <c r="L12" s="157"/>
      <c r="M12" s="157"/>
      <c r="N12" s="165"/>
      <c r="P12" s="167"/>
      <c r="Q12" s="167"/>
      <c r="R12" s="168"/>
      <c r="S12" s="301" t="s">
        <v>117</v>
      </c>
      <c r="T12" s="169"/>
      <c r="V12" s="170"/>
      <c r="W12" s="171"/>
      <c r="Y12" s="172"/>
      <c r="Z12" s="173"/>
      <c r="AA12" s="329"/>
      <c r="AB12" s="329"/>
      <c r="AC12" s="329"/>
      <c r="AD12" s="117"/>
      <c r="AE12" s="163"/>
      <c r="AF12" s="163"/>
      <c r="AG12" s="164"/>
      <c r="AH12" s="332"/>
      <c r="AI12" s="333"/>
      <c r="AJ12" s="120"/>
      <c r="AK12" s="172"/>
    </row>
    <row r="13" spans="1:123" s="118" customFormat="1" ht="29.45" customHeight="1">
      <c r="A13" s="165"/>
      <c r="B13" s="289">
        <v>3</v>
      </c>
      <c r="C13" s="290" t="s">
        <v>118</v>
      </c>
      <c r="D13" s="174"/>
      <c r="E13" s="305">
        <v>0.8</v>
      </c>
      <c r="F13" s="305">
        <v>0.7</v>
      </c>
      <c r="G13" s="305">
        <v>0.6</v>
      </c>
      <c r="H13" s="305">
        <v>0.3</v>
      </c>
      <c r="I13" s="305">
        <v>0.2</v>
      </c>
      <c r="J13" s="305">
        <v>0.45</v>
      </c>
      <c r="K13" s="306">
        <v>0.55000000000000004</v>
      </c>
      <c r="L13" s="305">
        <v>0.9</v>
      </c>
      <c r="M13" s="175"/>
      <c r="N13" s="165"/>
      <c r="P13" s="167"/>
      <c r="Q13" s="167"/>
      <c r="R13" s="297">
        <v>3</v>
      </c>
      <c r="S13" s="298" t="s">
        <v>119</v>
      </c>
      <c r="T13" s="176"/>
      <c r="U13" s="312">
        <v>27</v>
      </c>
      <c r="V13" s="177"/>
      <c r="W13" s="171"/>
      <c r="Y13" s="172"/>
      <c r="Z13" s="173"/>
      <c r="AA13" s="334" t="s">
        <v>27</v>
      </c>
      <c r="AB13" s="335"/>
      <c r="AC13" s="178">
        <f>E45</f>
        <v>129847.8</v>
      </c>
      <c r="AD13" s="117"/>
      <c r="AE13" s="179"/>
      <c r="AF13" s="179"/>
      <c r="AG13" s="150"/>
      <c r="AH13" s="180" t="s">
        <v>28</v>
      </c>
      <c r="AI13" s="178">
        <f>U44</f>
        <v>42000</v>
      </c>
      <c r="AJ13" s="181"/>
      <c r="AK13" s="172"/>
    </row>
    <row r="14" spans="1:123" s="118" customFormat="1" ht="24.95" customHeight="1">
      <c r="A14" s="165"/>
      <c r="B14" s="166"/>
      <c r="C14" s="300" t="s">
        <v>120</v>
      </c>
      <c r="D14" s="182"/>
      <c r="E14" s="155"/>
      <c r="F14" s="175"/>
      <c r="G14" s="175"/>
      <c r="H14" s="175"/>
      <c r="I14" s="175"/>
      <c r="J14" s="175"/>
      <c r="K14" s="175"/>
      <c r="L14" s="175"/>
      <c r="M14" s="175"/>
      <c r="N14" s="165"/>
      <c r="P14" s="167"/>
      <c r="Q14" s="167"/>
      <c r="R14" s="168"/>
      <c r="S14" s="155"/>
      <c r="T14" s="155"/>
      <c r="U14" s="157"/>
      <c r="V14" s="158"/>
      <c r="W14" s="171"/>
      <c r="Y14" s="172"/>
      <c r="Z14" s="173"/>
      <c r="AA14" s="336" t="s">
        <v>31</v>
      </c>
      <c r="AB14" s="337"/>
      <c r="AC14" s="184">
        <f>E44</f>
        <v>4328.2599999999993</v>
      </c>
      <c r="AD14" s="117"/>
      <c r="AE14" s="185"/>
      <c r="AF14" s="185"/>
      <c r="AG14" s="150"/>
      <c r="AH14" s="186" t="s">
        <v>121</v>
      </c>
      <c r="AI14" s="187">
        <f>U28</f>
        <v>1494.1850000000002</v>
      </c>
      <c r="AJ14" s="188"/>
      <c r="AK14" s="172"/>
    </row>
    <row r="15" spans="1:123" s="118" customFormat="1" ht="27.95" customHeight="1">
      <c r="A15" s="165"/>
      <c r="B15" s="289">
        <v>4</v>
      </c>
      <c r="C15" s="287" t="s">
        <v>122</v>
      </c>
      <c r="D15" s="148"/>
      <c r="E15" s="305">
        <v>0.9</v>
      </c>
      <c r="F15" s="305">
        <v>0.7</v>
      </c>
      <c r="G15" s="305">
        <v>0.8</v>
      </c>
      <c r="H15" s="305">
        <v>0.8</v>
      </c>
      <c r="I15" s="305">
        <v>0.8</v>
      </c>
      <c r="J15" s="305">
        <v>0.8</v>
      </c>
      <c r="K15" s="306">
        <v>0.8</v>
      </c>
      <c r="L15" s="305">
        <v>0.8</v>
      </c>
      <c r="M15" s="175"/>
      <c r="N15" s="165"/>
      <c r="P15" s="167"/>
      <c r="Q15" s="167"/>
      <c r="R15" s="297">
        <v>4</v>
      </c>
      <c r="S15" s="298" t="s">
        <v>123</v>
      </c>
      <c r="T15" s="176"/>
      <c r="U15" s="312">
        <v>5</v>
      </c>
      <c r="V15" s="177"/>
      <c r="W15" s="171"/>
      <c r="Y15" s="172"/>
      <c r="Z15" s="173"/>
      <c r="AA15" s="338" t="s">
        <v>35</v>
      </c>
      <c r="AB15" s="339"/>
      <c r="AC15" s="189">
        <f>AC14/(SUM(E9:L9))</f>
        <v>0.36371932773109239</v>
      </c>
      <c r="AD15" s="117"/>
      <c r="AE15" s="190"/>
      <c r="AF15" s="190"/>
      <c r="AG15" s="145"/>
      <c r="AH15" s="191" t="s">
        <v>36</v>
      </c>
      <c r="AI15" s="192">
        <f>U43</f>
        <v>210</v>
      </c>
      <c r="AJ15" s="193"/>
      <c r="AK15" s="172"/>
      <c r="BF15" s="194"/>
    </row>
    <row r="16" spans="1:123" s="118" customFormat="1" ht="29.45" customHeight="1">
      <c r="A16" s="165"/>
      <c r="B16" s="166"/>
      <c r="C16" s="294"/>
      <c r="D16" s="195"/>
      <c r="E16" s="175"/>
      <c r="F16" s="157"/>
      <c r="G16" s="157"/>
      <c r="H16" s="157"/>
      <c r="I16" s="157"/>
      <c r="J16" s="157"/>
      <c r="K16" s="157"/>
      <c r="L16" s="157"/>
      <c r="M16" s="157"/>
      <c r="N16" s="165"/>
      <c r="P16" s="167"/>
      <c r="Q16" s="167"/>
      <c r="R16" s="168"/>
      <c r="S16" s="155"/>
      <c r="T16" s="155"/>
      <c r="U16" s="196"/>
      <c r="V16" s="197"/>
      <c r="W16" s="171"/>
      <c r="Y16" s="172"/>
      <c r="Z16" s="173"/>
      <c r="AA16" s="338" t="s">
        <v>124</v>
      </c>
      <c r="AB16" s="339"/>
      <c r="AC16" s="199">
        <f>AC13*12</f>
        <v>1558173.6</v>
      </c>
      <c r="AD16" s="117"/>
      <c r="AE16" s="200"/>
      <c r="AF16" s="200"/>
      <c r="AH16" s="191" t="s">
        <v>38</v>
      </c>
      <c r="AI16" s="201">
        <f>0.01*U38</f>
        <v>52445.893500000006</v>
      </c>
      <c r="AJ16" s="202"/>
      <c r="AK16" s="172"/>
    </row>
    <row r="17" spans="1:105" s="118" customFormat="1" ht="24.95" customHeight="1">
      <c r="A17" s="165"/>
      <c r="B17" s="289">
        <v>5</v>
      </c>
      <c r="C17" s="290" t="s">
        <v>125</v>
      </c>
      <c r="D17" s="174"/>
      <c r="E17" s="305">
        <v>0.7</v>
      </c>
      <c r="F17" s="305">
        <v>0.7</v>
      </c>
      <c r="G17" s="305">
        <v>0.5</v>
      </c>
      <c r="H17" s="305">
        <v>0.7</v>
      </c>
      <c r="I17" s="305">
        <v>0.7</v>
      </c>
      <c r="J17" s="305">
        <v>0.6</v>
      </c>
      <c r="K17" s="306">
        <v>0.7</v>
      </c>
      <c r="L17" s="305">
        <v>0.7</v>
      </c>
      <c r="M17" s="175"/>
      <c r="N17" s="165"/>
      <c r="P17" s="167"/>
      <c r="Q17" s="167"/>
      <c r="R17" s="297">
        <v>5</v>
      </c>
      <c r="S17" s="298" t="s">
        <v>126</v>
      </c>
      <c r="T17" s="176"/>
      <c r="U17" s="313" t="s">
        <v>0</v>
      </c>
      <c r="V17" s="197"/>
      <c r="W17" s="171"/>
      <c r="Y17" s="172"/>
      <c r="Z17" s="173"/>
      <c r="AA17" s="198"/>
      <c r="AB17" s="199"/>
      <c r="AC17" s="199"/>
      <c r="AD17" s="117"/>
      <c r="AE17" s="200"/>
      <c r="AF17" s="200"/>
      <c r="AH17" s="203" t="s">
        <v>41</v>
      </c>
      <c r="AI17" s="204">
        <f>U49-AI13</f>
        <v>2825.5500000000029</v>
      </c>
      <c r="AJ17" s="199"/>
      <c r="AK17" s="172"/>
    </row>
    <row r="18" spans="1:105" s="118" customFormat="1" ht="30.95" customHeight="1">
      <c r="A18" s="165"/>
      <c r="B18" s="166"/>
      <c r="C18" s="316" t="s">
        <v>127</v>
      </c>
      <c r="D18" s="205"/>
      <c r="E18" s="175"/>
      <c r="F18" s="175"/>
      <c r="G18" s="175"/>
      <c r="H18" s="175"/>
      <c r="I18" s="175"/>
      <c r="J18" s="175"/>
      <c r="K18" s="175"/>
      <c r="L18" s="175"/>
      <c r="M18" s="175"/>
      <c r="N18" s="165"/>
      <c r="P18" s="167"/>
      <c r="Q18" s="167"/>
      <c r="R18" s="168"/>
      <c r="S18" s="316" t="s">
        <v>127</v>
      </c>
      <c r="T18" s="155"/>
      <c r="U18" s="157"/>
      <c r="V18" s="158"/>
      <c r="W18" s="171"/>
      <c r="Y18" s="172"/>
      <c r="Z18" s="173"/>
      <c r="AB18" s="158"/>
      <c r="AC18" s="158"/>
      <c r="AD18" s="117"/>
      <c r="AE18" s="206"/>
      <c r="AF18" s="206"/>
      <c r="AG18" s="194"/>
      <c r="AI18" s="158"/>
      <c r="AJ18" s="158"/>
      <c r="AK18" s="172"/>
      <c r="BE18" s="194"/>
      <c r="BF18" s="194"/>
    </row>
    <row r="19" spans="1:105" s="118" customFormat="1" ht="24.95" customHeight="1">
      <c r="A19" s="165"/>
      <c r="C19" s="299" t="s">
        <v>128</v>
      </c>
      <c r="D19" s="207"/>
      <c r="E19" s="208"/>
      <c r="F19" s="208"/>
      <c r="G19" s="208"/>
      <c r="H19" s="208"/>
      <c r="I19" s="208"/>
      <c r="J19" s="208"/>
      <c r="K19" s="208"/>
      <c r="L19" s="208"/>
      <c r="M19" s="208"/>
      <c r="N19" s="165"/>
      <c r="P19" s="167"/>
      <c r="Q19" s="167"/>
      <c r="R19" s="297">
        <v>6</v>
      </c>
      <c r="S19" s="298" t="s">
        <v>129</v>
      </c>
      <c r="T19" s="176"/>
      <c r="U19" s="311">
        <v>0.8</v>
      </c>
      <c r="V19" s="161"/>
      <c r="W19" s="171"/>
      <c r="Y19" s="172"/>
      <c r="Z19" s="209"/>
      <c r="AA19" s="210"/>
      <c r="AB19" s="210"/>
      <c r="AC19" s="211"/>
      <c r="AD19" s="211"/>
      <c r="AE19" s="211"/>
      <c r="AF19" s="211"/>
      <c r="AG19" s="212"/>
      <c r="AH19" s="213"/>
      <c r="AI19" s="213"/>
      <c r="AJ19" s="214"/>
      <c r="AK19" s="172"/>
    </row>
    <row r="20" spans="1:105" s="118" customFormat="1" ht="22.5" customHeight="1">
      <c r="A20" s="165"/>
      <c r="C20" s="207"/>
      <c r="D20" s="207"/>
      <c r="E20" s="208"/>
      <c r="F20" s="208"/>
      <c r="G20" s="208"/>
      <c r="H20" s="208"/>
      <c r="I20" s="208"/>
      <c r="J20" s="208"/>
      <c r="K20" s="208"/>
      <c r="L20" s="208"/>
      <c r="M20" s="208"/>
      <c r="N20" s="165"/>
      <c r="P20" s="167"/>
      <c r="Q20" s="167"/>
      <c r="R20" s="215"/>
      <c r="S20" s="176"/>
      <c r="T20" s="176"/>
      <c r="U20" s="175"/>
      <c r="V20" s="175"/>
      <c r="W20" s="171"/>
      <c r="Y20" s="172"/>
      <c r="Z20" s="173"/>
      <c r="AA20" s="216"/>
      <c r="AB20" s="216"/>
      <c r="AC20" s="216"/>
      <c r="AD20" s="216"/>
      <c r="AE20" s="211"/>
      <c r="AF20" s="211"/>
      <c r="AG20" s="217"/>
      <c r="AH20" s="218"/>
      <c r="AI20" s="218"/>
      <c r="AJ20" s="218"/>
      <c r="AK20" s="172"/>
    </row>
    <row r="21" spans="1:105" s="118" customFormat="1" ht="24.95" customHeight="1">
      <c r="A21" s="165"/>
      <c r="B21" s="165"/>
      <c r="C21" s="219"/>
      <c r="D21" s="219"/>
      <c r="E21" s="220"/>
      <c r="F21" s="220"/>
      <c r="G21" s="220"/>
      <c r="H21" s="220"/>
      <c r="I21" s="220"/>
      <c r="J21" s="220"/>
      <c r="K21" s="220"/>
      <c r="L21" s="220"/>
      <c r="M21" s="220"/>
      <c r="N21" s="165"/>
      <c r="P21" s="167"/>
      <c r="Q21" s="167"/>
      <c r="R21" s="171"/>
      <c r="S21" s="151"/>
      <c r="T21" s="151"/>
      <c r="U21" s="221"/>
      <c r="V21" s="221"/>
      <c r="W21" s="171"/>
      <c r="Y21" s="172"/>
      <c r="Z21" s="173"/>
      <c r="AA21" s="340" t="s">
        <v>45</v>
      </c>
      <c r="AB21" s="340"/>
      <c r="AC21" s="340"/>
      <c r="AD21" s="216"/>
      <c r="AE21" s="211"/>
      <c r="AF21" s="211"/>
      <c r="AG21" s="217"/>
      <c r="AH21" s="341" t="s">
        <v>130</v>
      </c>
      <c r="AI21" s="341"/>
      <c r="AJ21" s="218"/>
      <c r="AK21" s="172"/>
      <c r="BH21" s="222"/>
      <c r="BI21" s="222"/>
    </row>
    <row r="22" spans="1:105" s="118" customFormat="1" ht="24.95" customHeight="1">
      <c r="A22" s="165"/>
      <c r="B22" s="322" t="s">
        <v>49</v>
      </c>
      <c r="C22" s="322"/>
      <c r="D22" s="322"/>
      <c r="E22" s="322"/>
      <c r="F22" s="322"/>
      <c r="G22" s="322"/>
      <c r="H22" s="322"/>
      <c r="I22" s="322"/>
      <c r="J22" s="322"/>
      <c r="K22" s="322"/>
      <c r="L22" s="322"/>
      <c r="M22" s="322"/>
      <c r="N22" s="165"/>
      <c r="P22" s="167"/>
      <c r="Q22" s="167"/>
      <c r="R22" s="173"/>
      <c r="S22" s="323" t="s">
        <v>49</v>
      </c>
      <c r="T22" s="323"/>
      <c r="U22" s="323"/>
      <c r="V22" s="218"/>
      <c r="W22" s="171"/>
      <c r="Y22" s="172"/>
      <c r="Z22" s="173"/>
      <c r="AA22" s="216"/>
      <c r="AB22" s="216"/>
      <c r="AC22" s="216"/>
      <c r="AD22" s="216"/>
      <c r="AE22" s="211"/>
      <c r="AF22" s="211"/>
      <c r="AG22" s="217"/>
      <c r="AH22" s="218"/>
      <c r="AI22" s="218"/>
      <c r="AJ22" s="218"/>
      <c r="AK22" s="172"/>
    </row>
    <row r="23" spans="1:105" s="118" customFormat="1" ht="24.95" customHeight="1">
      <c r="A23" s="165"/>
      <c r="B23" s="342" t="s">
        <v>131</v>
      </c>
      <c r="C23" s="342"/>
      <c r="D23" s="342"/>
      <c r="E23" s="342"/>
      <c r="F23" s="342"/>
      <c r="G23" s="342"/>
      <c r="H23" s="342"/>
      <c r="I23" s="342"/>
      <c r="J23" s="342"/>
      <c r="K23" s="342"/>
      <c r="L23" s="342"/>
      <c r="M23" s="342"/>
      <c r="N23" s="165"/>
      <c r="P23" s="167"/>
      <c r="Q23" s="167"/>
      <c r="R23" s="173"/>
      <c r="S23" s="324" t="s">
        <v>132</v>
      </c>
      <c r="T23" s="324"/>
      <c r="U23" s="324"/>
      <c r="V23" s="223"/>
      <c r="W23" s="171"/>
      <c r="Y23" s="172"/>
      <c r="Z23" s="224" t="s">
        <v>133</v>
      </c>
      <c r="AA23" s="183" t="s">
        <v>134</v>
      </c>
      <c r="AB23" s="183"/>
      <c r="AC23" s="183"/>
      <c r="AD23" s="183"/>
      <c r="AE23" s="131"/>
      <c r="AF23" s="131"/>
      <c r="AG23" s="224" t="s">
        <v>133</v>
      </c>
      <c r="AH23" s="183" t="s">
        <v>135</v>
      </c>
      <c r="AI23" s="117"/>
      <c r="AJ23" s="117"/>
      <c r="AK23" s="225"/>
      <c r="AL23" s="194"/>
      <c r="AM23" s="194"/>
      <c r="AN23" s="194"/>
      <c r="AO23" s="194"/>
      <c r="AP23" s="194"/>
      <c r="AQ23" s="194"/>
      <c r="AR23" s="194"/>
      <c r="AS23" s="194"/>
      <c r="AT23" s="194"/>
      <c r="AU23" s="194"/>
      <c r="AV23" s="194"/>
      <c r="AW23" s="194"/>
      <c r="AX23" s="194"/>
      <c r="AY23" s="194"/>
      <c r="AZ23" s="194"/>
      <c r="BA23" s="194"/>
      <c r="BB23" s="194"/>
      <c r="BC23" s="194"/>
      <c r="BD23" s="194"/>
      <c r="BE23" s="194"/>
      <c r="BF23" s="194"/>
      <c r="BG23" s="194"/>
      <c r="BJ23" s="194"/>
      <c r="BK23" s="194"/>
      <c r="BL23" s="194"/>
      <c r="BM23" s="194"/>
      <c r="BN23" s="194"/>
      <c r="BO23" s="194"/>
      <c r="BP23" s="194"/>
      <c r="BQ23" s="194"/>
      <c r="BR23" s="194"/>
      <c r="BS23" s="194"/>
      <c r="BT23" s="194"/>
      <c r="BU23" s="194"/>
      <c r="BV23" s="194"/>
      <c r="BW23" s="194"/>
      <c r="BX23" s="194"/>
      <c r="BY23" s="194"/>
      <c r="BZ23" s="194"/>
      <c r="CA23" s="194"/>
      <c r="CB23" s="194"/>
      <c r="CC23" s="194"/>
      <c r="CD23" s="194"/>
      <c r="CE23" s="194"/>
      <c r="CF23" s="194"/>
      <c r="CG23" s="194"/>
      <c r="CH23" s="194"/>
      <c r="CI23" s="194"/>
      <c r="CJ23" s="194"/>
      <c r="CK23" s="194"/>
      <c r="CL23" s="194"/>
      <c r="CM23" s="194"/>
      <c r="CN23" s="194"/>
      <c r="CO23" s="194"/>
      <c r="CP23" s="194"/>
      <c r="CQ23" s="194"/>
      <c r="CR23" s="194"/>
      <c r="CS23" s="194"/>
      <c r="CT23" s="194"/>
      <c r="CU23" s="194"/>
      <c r="CV23" s="194"/>
      <c r="CW23" s="194"/>
      <c r="CX23" s="194"/>
      <c r="CY23" s="194"/>
      <c r="CZ23" s="194"/>
      <c r="DA23" s="194"/>
    </row>
    <row r="24" spans="1:105" s="118" customFormat="1" ht="24.95" customHeight="1">
      <c r="A24" s="165"/>
      <c r="B24" s="165"/>
      <c r="C24" s="226"/>
      <c r="D24" s="226"/>
      <c r="E24" s="226"/>
      <c r="F24" s="226"/>
      <c r="G24" s="226"/>
      <c r="H24" s="226"/>
      <c r="I24" s="226"/>
      <c r="J24" s="226"/>
      <c r="K24" s="226"/>
      <c r="L24" s="227"/>
      <c r="M24" s="227"/>
      <c r="N24" s="165"/>
      <c r="P24" s="167"/>
      <c r="Q24" s="167"/>
      <c r="R24" s="171"/>
      <c r="S24" s="228"/>
      <c r="T24" s="228"/>
      <c r="U24" s="228"/>
      <c r="V24" s="229"/>
      <c r="W24" s="171"/>
      <c r="Y24" s="172"/>
      <c r="Z24" s="224" t="s">
        <v>133</v>
      </c>
      <c r="AA24" s="183" t="s">
        <v>136</v>
      </c>
      <c r="AB24" s="183"/>
      <c r="AC24" s="183"/>
      <c r="AD24" s="183"/>
      <c r="AE24" s="131"/>
      <c r="AF24" s="131"/>
      <c r="AG24" s="224" t="s">
        <v>133</v>
      </c>
      <c r="AH24" s="183" t="s">
        <v>137</v>
      </c>
      <c r="AI24" s="117"/>
      <c r="AJ24" s="117"/>
      <c r="AK24" s="172"/>
      <c r="BH24" s="194"/>
      <c r="BI24" s="194"/>
    </row>
    <row r="25" spans="1:105" s="118" customFormat="1" ht="27" customHeight="1">
      <c r="A25" s="165"/>
      <c r="B25" s="287">
        <v>1</v>
      </c>
      <c r="C25" s="343" t="s">
        <v>138</v>
      </c>
      <c r="D25" s="344"/>
      <c r="E25" s="291" t="s">
        <v>10</v>
      </c>
      <c r="F25" s="291" t="s">
        <v>11</v>
      </c>
      <c r="G25" s="292" t="s">
        <v>12</v>
      </c>
      <c r="H25" s="291" t="s">
        <v>13</v>
      </c>
      <c r="I25" s="291" t="s">
        <v>14</v>
      </c>
      <c r="J25" s="291" t="s">
        <v>15</v>
      </c>
      <c r="K25" s="291" t="s">
        <v>16</v>
      </c>
      <c r="L25" s="293" t="s">
        <v>17</v>
      </c>
      <c r="M25" s="230"/>
      <c r="N25" s="165"/>
      <c r="P25" s="167"/>
      <c r="Q25" s="167"/>
      <c r="R25" s="297">
        <v>1</v>
      </c>
      <c r="S25" s="345" t="s">
        <v>139</v>
      </c>
      <c r="T25" s="346"/>
      <c r="U25" s="347"/>
      <c r="V25" s="231"/>
      <c r="W25" s="171"/>
      <c r="Y25" s="172"/>
      <c r="Z25" s="224" t="s">
        <v>133</v>
      </c>
      <c r="AA25" s="183" t="s">
        <v>140</v>
      </c>
      <c r="AB25" s="183"/>
      <c r="AC25" s="183"/>
      <c r="AD25" s="183"/>
      <c r="AE25" s="131"/>
      <c r="AF25" s="131"/>
      <c r="AG25" s="224" t="s">
        <v>133</v>
      </c>
      <c r="AH25" s="183" t="s">
        <v>141</v>
      </c>
      <c r="AI25" s="117"/>
      <c r="AJ25" s="117"/>
      <c r="AK25" s="23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c r="CY25" s="222"/>
      <c r="CZ25" s="222"/>
      <c r="DA25" s="222"/>
    </row>
    <row r="26" spans="1:105" s="118" customFormat="1" ht="24.95" customHeight="1">
      <c r="A26" s="165"/>
      <c r="B26" s="148"/>
      <c r="C26" s="348" t="s">
        <v>57</v>
      </c>
      <c r="D26" s="349"/>
      <c r="E26" s="233">
        <f t="shared" ref="E26:L26" si="0">E9-E11</f>
        <v>6500</v>
      </c>
      <c r="F26" s="233">
        <f t="shared" si="0"/>
        <v>700</v>
      </c>
      <c r="G26" s="233">
        <f t="shared" si="0"/>
        <v>1200</v>
      </c>
      <c r="H26" s="233">
        <f t="shared" si="0"/>
        <v>400</v>
      </c>
      <c r="I26" s="233">
        <f t="shared" si="0"/>
        <v>180</v>
      </c>
      <c r="J26" s="233">
        <f t="shared" si="0"/>
        <v>700</v>
      </c>
      <c r="K26" s="233">
        <f t="shared" si="0"/>
        <v>150</v>
      </c>
      <c r="L26" s="234">
        <f t="shared" si="0"/>
        <v>475</v>
      </c>
      <c r="M26" s="235"/>
      <c r="N26" s="165"/>
      <c r="P26" s="167"/>
      <c r="Q26" s="167"/>
      <c r="R26" s="215"/>
      <c r="S26" s="350" t="s">
        <v>142</v>
      </c>
      <c r="T26" s="351"/>
      <c r="U26" s="236">
        <f>U9</f>
        <v>5976.7400000000007</v>
      </c>
      <c r="V26" s="237"/>
      <c r="W26" s="171"/>
      <c r="Y26" s="172"/>
      <c r="Z26" s="224" t="s">
        <v>133</v>
      </c>
      <c r="AA26" s="183" t="s">
        <v>143</v>
      </c>
      <c r="AB26" s="183"/>
      <c r="AC26" s="183"/>
      <c r="AD26" s="183"/>
      <c r="AE26" s="131"/>
      <c r="AF26" s="131"/>
      <c r="AH26" s="135"/>
      <c r="AI26" s="135"/>
      <c r="AJ26" s="135"/>
      <c r="AK26" s="172"/>
    </row>
    <row r="27" spans="1:105" s="118" customFormat="1" ht="24.95" customHeight="1">
      <c r="A27" s="165"/>
      <c r="B27" s="148"/>
      <c r="C27" s="352" t="s">
        <v>60</v>
      </c>
      <c r="D27" s="353"/>
      <c r="E27" s="238">
        <f>E13</f>
        <v>0.8</v>
      </c>
      <c r="F27" s="238">
        <f t="shared" ref="F27:L27" si="1">F13</f>
        <v>0.7</v>
      </c>
      <c r="G27" s="238">
        <f t="shared" si="1"/>
        <v>0.6</v>
      </c>
      <c r="H27" s="238">
        <f t="shared" si="1"/>
        <v>0.3</v>
      </c>
      <c r="I27" s="238">
        <f t="shared" si="1"/>
        <v>0.2</v>
      </c>
      <c r="J27" s="238">
        <f t="shared" si="1"/>
        <v>0.45</v>
      </c>
      <c r="K27" s="238">
        <f t="shared" si="1"/>
        <v>0.55000000000000004</v>
      </c>
      <c r="L27" s="239">
        <f t="shared" si="1"/>
        <v>0.9</v>
      </c>
      <c r="M27" s="240"/>
      <c r="N27" s="241"/>
      <c r="P27" s="167"/>
      <c r="Q27" s="167"/>
      <c r="R27" s="215"/>
      <c r="S27" s="338" t="s">
        <v>144</v>
      </c>
      <c r="T27" s="339"/>
      <c r="U27" s="242">
        <f>U11</f>
        <v>0.25</v>
      </c>
      <c r="V27" s="243"/>
      <c r="W27" s="171"/>
      <c r="Y27" s="172"/>
      <c r="Z27" s="224" t="s">
        <v>133</v>
      </c>
      <c r="AA27" s="183" t="s">
        <v>145</v>
      </c>
      <c r="AB27" s="183"/>
      <c r="AC27" s="183"/>
      <c r="AD27" s="183"/>
      <c r="AE27" s="131"/>
      <c r="AF27" s="131"/>
      <c r="AH27" s="135"/>
      <c r="AI27" s="135"/>
      <c r="AJ27" s="135"/>
      <c r="AK27" s="172"/>
    </row>
    <row r="28" spans="1:105" s="118" customFormat="1" ht="24.95" customHeight="1">
      <c r="A28" s="165"/>
      <c r="B28" s="148"/>
      <c r="C28" s="354" t="s">
        <v>63</v>
      </c>
      <c r="D28" s="355"/>
      <c r="E28" s="314">
        <f>E26*E27</f>
        <v>5200</v>
      </c>
      <c r="F28" s="314">
        <f t="shared" ref="F28:K28" si="2">F26*F27</f>
        <v>489.99999999999994</v>
      </c>
      <c r="G28" s="314">
        <f t="shared" si="2"/>
        <v>720</v>
      </c>
      <c r="H28" s="314">
        <f>H26*H27</f>
        <v>120</v>
      </c>
      <c r="I28" s="314">
        <f t="shared" si="2"/>
        <v>36</v>
      </c>
      <c r="J28" s="314">
        <f t="shared" si="2"/>
        <v>315</v>
      </c>
      <c r="K28" s="314">
        <f t="shared" si="2"/>
        <v>82.5</v>
      </c>
      <c r="L28" s="315">
        <f>L26*L27</f>
        <v>427.5</v>
      </c>
      <c r="M28" s="193"/>
      <c r="N28" s="165"/>
      <c r="P28" s="167"/>
      <c r="Q28" s="167"/>
      <c r="R28" s="215"/>
      <c r="S28" s="356" t="s">
        <v>64</v>
      </c>
      <c r="T28" s="357"/>
      <c r="U28" s="244">
        <f>U26*U27</f>
        <v>1494.1850000000002</v>
      </c>
      <c r="V28" s="237"/>
      <c r="W28" s="171"/>
      <c r="Y28" s="172"/>
      <c r="Z28" s="224" t="s">
        <v>133</v>
      </c>
      <c r="AA28" s="183" t="s">
        <v>146</v>
      </c>
      <c r="AB28" s="183"/>
      <c r="AC28" s="183"/>
      <c r="AD28" s="183"/>
      <c r="AE28" s="131"/>
      <c r="AF28" s="131"/>
      <c r="AG28" s="237"/>
      <c r="AK28" s="172"/>
    </row>
    <row r="29" spans="1:105" s="118" customFormat="1" ht="24.95" customHeight="1">
      <c r="A29" s="165"/>
      <c r="B29" s="245"/>
      <c r="C29" s="165"/>
      <c r="D29" s="165"/>
      <c r="E29" s="246"/>
      <c r="F29" s="246"/>
      <c r="G29" s="246"/>
      <c r="H29" s="246"/>
      <c r="I29" s="246"/>
      <c r="J29" s="246"/>
      <c r="K29" s="246"/>
      <c r="L29" s="246"/>
      <c r="M29" s="246"/>
      <c r="N29" s="247"/>
      <c r="P29" s="167"/>
      <c r="Q29" s="167"/>
      <c r="R29" s="248"/>
      <c r="S29" s="167"/>
      <c r="T29" s="167"/>
      <c r="U29" s="167"/>
      <c r="V29" s="167"/>
      <c r="W29" s="171"/>
      <c r="Y29" s="172"/>
      <c r="Z29" s="224" t="s">
        <v>133</v>
      </c>
      <c r="AA29" s="358" t="s">
        <v>147</v>
      </c>
      <c r="AB29" s="358"/>
      <c r="AC29" s="358"/>
      <c r="AD29" s="358"/>
      <c r="AE29" s="131"/>
      <c r="AF29" s="131"/>
      <c r="AG29" s="249"/>
      <c r="AK29" s="172"/>
    </row>
    <row r="30" spans="1:105" s="118" customFormat="1" ht="29.45" customHeight="1">
      <c r="A30" s="165"/>
      <c r="B30" s="287">
        <v>2</v>
      </c>
      <c r="C30" s="343" t="s">
        <v>148</v>
      </c>
      <c r="D30" s="344"/>
      <c r="E30" s="291" t="s">
        <v>10</v>
      </c>
      <c r="F30" s="291" t="s">
        <v>11</v>
      </c>
      <c r="G30" s="292" t="s">
        <v>12</v>
      </c>
      <c r="H30" s="291" t="s">
        <v>13</v>
      </c>
      <c r="I30" s="291" t="s">
        <v>14</v>
      </c>
      <c r="J30" s="291" t="s">
        <v>15</v>
      </c>
      <c r="K30" s="291" t="s">
        <v>16</v>
      </c>
      <c r="L30" s="293" t="s">
        <v>17</v>
      </c>
      <c r="M30" s="230"/>
      <c r="N30" s="165"/>
      <c r="P30" s="167"/>
      <c r="Q30" s="167"/>
      <c r="R30" s="297">
        <v>2</v>
      </c>
      <c r="S30" s="345" t="s">
        <v>149</v>
      </c>
      <c r="T30" s="346"/>
      <c r="U30" s="347"/>
      <c r="V30" s="231"/>
      <c r="W30" s="171"/>
      <c r="Y30" s="172"/>
      <c r="Z30" s="173"/>
      <c r="AA30" s="358"/>
      <c r="AB30" s="358"/>
      <c r="AC30" s="358"/>
      <c r="AD30" s="358"/>
      <c r="AE30" s="130"/>
      <c r="AF30" s="130"/>
      <c r="AG30" s="249"/>
      <c r="AH30" s="194"/>
      <c r="AI30" s="194"/>
      <c r="AJ30" s="194"/>
      <c r="AK30" s="172"/>
    </row>
    <row r="31" spans="1:105" s="118" customFormat="1" ht="24.95" customHeight="1">
      <c r="A31" s="165"/>
      <c r="B31" s="148"/>
      <c r="C31" s="352" t="s">
        <v>69</v>
      </c>
      <c r="D31" s="353"/>
      <c r="E31" s="238">
        <f t="shared" ref="E31:L31" si="3">E15</f>
        <v>0.9</v>
      </c>
      <c r="F31" s="238">
        <f t="shared" si="3"/>
        <v>0.7</v>
      </c>
      <c r="G31" s="238">
        <f t="shared" si="3"/>
        <v>0.8</v>
      </c>
      <c r="H31" s="238">
        <f t="shared" si="3"/>
        <v>0.8</v>
      </c>
      <c r="I31" s="238">
        <f t="shared" si="3"/>
        <v>0.8</v>
      </c>
      <c r="J31" s="238">
        <f t="shared" si="3"/>
        <v>0.8</v>
      </c>
      <c r="K31" s="238">
        <f t="shared" si="3"/>
        <v>0.8</v>
      </c>
      <c r="L31" s="239">
        <f t="shared" si="3"/>
        <v>0.8</v>
      </c>
      <c r="M31" s="240"/>
      <c r="N31" s="165"/>
      <c r="P31" s="167"/>
      <c r="Q31" s="167"/>
      <c r="R31" s="215"/>
      <c r="S31" s="359" t="s">
        <v>70</v>
      </c>
      <c r="T31" s="360"/>
      <c r="U31" s="250">
        <f>U13</f>
        <v>27</v>
      </c>
      <c r="V31" s="251"/>
      <c r="W31" s="171"/>
      <c r="Y31" s="172"/>
      <c r="Z31" s="209"/>
      <c r="AA31" s="252"/>
      <c r="AB31" s="130"/>
      <c r="AC31" s="130"/>
      <c r="AD31" s="130"/>
      <c r="AE31" s="130"/>
      <c r="AF31" s="130"/>
      <c r="AG31" s="253"/>
      <c r="AH31" s="172"/>
      <c r="AI31" s="172"/>
      <c r="AJ31" s="172"/>
      <c r="AK31" s="225"/>
      <c r="AL31" s="194"/>
      <c r="AM31" s="194"/>
      <c r="AN31" s="194"/>
      <c r="AO31" s="194"/>
      <c r="AP31" s="194"/>
      <c r="AQ31" s="194"/>
      <c r="AR31" s="194"/>
      <c r="AS31" s="194"/>
      <c r="AT31" s="194"/>
      <c r="AU31" s="194"/>
      <c r="AV31" s="194"/>
      <c r="AW31" s="194"/>
      <c r="AX31" s="194"/>
      <c r="AY31" s="194"/>
      <c r="AZ31" s="194"/>
      <c r="BA31" s="194"/>
      <c r="BB31" s="194"/>
      <c r="BC31" s="194"/>
      <c r="BD31" s="194"/>
      <c r="BE31" s="194"/>
      <c r="BF31" s="194"/>
      <c r="BG31" s="194"/>
      <c r="BJ31" s="194"/>
      <c r="BK31" s="194"/>
      <c r="BL31" s="194"/>
      <c r="BM31" s="194"/>
      <c r="BN31" s="194"/>
      <c r="BO31" s="194"/>
      <c r="BP31" s="194"/>
      <c r="BQ31" s="194"/>
      <c r="BR31" s="194"/>
      <c r="BS31" s="194"/>
      <c r="BT31" s="194"/>
      <c r="BU31" s="194"/>
      <c r="BV31" s="194"/>
      <c r="BW31" s="194"/>
      <c r="BX31" s="194"/>
      <c r="BY31" s="194"/>
      <c r="BZ31" s="194"/>
      <c r="CA31" s="194"/>
      <c r="CB31" s="194"/>
      <c r="CC31" s="194"/>
      <c r="CD31" s="194"/>
      <c r="CE31" s="194"/>
      <c r="CF31" s="194"/>
      <c r="CG31" s="194"/>
      <c r="CH31" s="194"/>
      <c r="CI31" s="194"/>
      <c r="CJ31" s="194"/>
      <c r="CK31" s="194"/>
      <c r="CL31" s="194"/>
      <c r="CM31" s="194"/>
      <c r="CN31" s="194"/>
      <c r="CO31" s="194"/>
      <c r="CP31" s="194"/>
      <c r="CQ31" s="194"/>
      <c r="CR31" s="194"/>
      <c r="CS31" s="194"/>
      <c r="CT31" s="194"/>
      <c r="CU31" s="194"/>
      <c r="CV31" s="194"/>
      <c r="CW31" s="194"/>
      <c r="CX31" s="194"/>
      <c r="CY31" s="194"/>
      <c r="CZ31" s="194"/>
      <c r="DA31" s="194"/>
    </row>
    <row r="32" spans="1:105" s="118" customFormat="1" ht="24.95" customHeight="1">
      <c r="A32" s="165"/>
      <c r="B32" s="148"/>
      <c r="C32" s="361" t="s">
        <v>71</v>
      </c>
      <c r="D32" s="362"/>
      <c r="E32" s="254">
        <f t="shared" ref="E32:L32" si="4">E28*E31</f>
        <v>4680</v>
      </c>
      <c r="F32" s="254">
        <f t="shared" si="4"/>
        <v>342.99999999999994</v>
      </c>
      <c r="G32" s="254">
        <f t="shared" si="4"/>
        <v>576</v>
      </c>
      <c r="H32" s="254">
        <f t="shared" si="4"/>
        <v>96</v>
      </c>
      <c r="I32" s="254">
        <f t="shared" si="4"/>
        <v>28.8</v>
      </c>
      <c r="J32" s="254">
        <f t="shared" si="4"/>
        <v>252</v>
      </c>
      <c r="K32" s="254">
        <f t="shared" si="4"/>
        <v>66</v>
      </c>
      <c r="L32" s="255">
        <f t="shared" si="4"/>
        <v>342</v>
      </c>
      <c r="M32" s="256"/>
      <c r="N32" s="165"/>
      <c r="P32" s="167"/>
      <c r="Q32" s="167"/>
      <c r="R32" s="215"/>
      <c r="S32" s="363" t="s">
        <v>72</v>
      </c>
      <c r="T32" s="364"/>
      <c r="U32" s="257">
        <f>U28*U31</f>
        <v>40342.995000000003</v>
      </c>
      <c r="V32" s="237"/>
      <c r="W32" s="171"/>
      <c r="Y32" s="172"/>
      <c r="Z32" s="209"/>
      <c r="AA32" s="252"/>
      <c r="AB32" s="130"/>
      <c r="AC32" s="130"/>
      <c r="AD32" s="130"/>
      <c r="AE32" s="130"/>
      <c r="AF32" s="130"/>
      <c r="AG32" s="253"/>
      <c r="AH32" s="232"/>
      <c r="AI32" s="232"/>
      <c r="AJ32" s="232"/>
      <c r="AK32" s="172"/>
    </row>
    <row r="33" spans="1:105" s="118" customFormat="1" ht="24.95" customHeight="1">
      <c r="A33" s="165"/>
      <c r="B33" s="245"/>
      <c r="C33" s="165"/>
      <c r="D33" s="165"/>
      <c r="E33" s="246"/>
      <c r="F33" s="246"/>
      <c r="G33" s="246"/>
      <c r="H33" s="246"/>
      <c r="I33" s="246"/>
      <c r="J33" s="246"/>
      <c r="K33" s="246"/>
      <c r="L33" s="246"/>
      <c r="M33" s="246"/>
      <c r="N33" s="165"/>
      <c r="P33" s="167"/>
      <c r="Q33" s="167"/>
      <c r="R33" s="248"/>
      <c r="S33" s="167"/>
      <c r="T33" s="167"/>
      <c r="U33" s="167"/>
      <c r="V33" s="167"/>
      <c r="W33" s="171"/>
      <c r="Y33" s="172"/>
      <c r="Z33" s="209"/>
      <c r="AA33" s="130"/>
      <c r="AB33" s="130"/>
      <c r="AC33" s="130"/>
      <c r="AD33" s="130"/>
      <c r="AE33" s="130"/>
      <c r="AF33" s="130"/>
      <c r="AG33" s="253"/>
      <c r="AH33" s="232"/>
      <c r="AI33" s="232"/>
      <c r="AJ33" s="232"/>
      <c r="AK33" s="172"/>
    </row>
    <row r="34" spans="1:105" s="118" customFormat="1" ht="30.6" customHeight="1">
      <c r="A34" s="165"/>
      <c r="B34" s="287">
        <v>3</v>
      </c>
      <c r="C34" s="343" t="s">
        <v>150</v>
      </c>
      <c r="D34" s="344"/>
      <c r="E34" s="291" t="s">
        <v>10</v>
      </c>
      <c r="F34" s="291" t="s">
        <v>11</v>
      </c>
      <c r="G34" s="292" t="s">
        <v>12</v>
      </c>
      <c r="H34" s="291" t="s">
        <v>13</v>
      </c>
      <c r="I34" s="291" t="s">
        <v>14</v>
      </c>
      <c r="J34" s="291" t="s">
        <v>15</v>
      </c>
      <c r="K34" s="291" t="s">
        <v>16</v>
      </c>
      <c r="L34" s="293" t="s">
        <v>17</v>
      </c>
      <c r="M34" s="230"/>
      <c r="N34" s="165"/>
      <c r="P34" s="167"/>
      <c r="Q34" s="167"/>
      <c r="R34" s="297">
        <v>3</v>
      </c>
      <c r="S34" s="345" t="s">
        <v>151</v>
      </c>
      <c r="T34" s="346"/>
      <c r="U34" s="347"/>
      <c r="V34" s="231"/>
      <c r="W34" s="171"/>
      <c r="Y34" s="172"/>
      <c r="Z34" s="209"/>
      <c r="AA34" s="130"/>
      <c r="AB34" s="130"/>
      <c r="AC34" s="130"/>
      <c r="AD34" s="130"/>
      <c r="AE34" s="130"/>
      <c r="AF34" s="130"/>
      <c r="AG34" s="172"/>
      <c r="AH34" s="232"/>
      <c r="AI34" s="232"/>
      <c r="AJ34" s="232"/>
      <c r="AK34" s="172"/>
    </row>
    <row r="35" spans="1:105" s="118" customFormat="1" ht="24.95" customHeight="1">
      <c r="A35" s="165"/>
      <c r="B35" s="148"/>
      <c r="C35" s="352" t="s">
        <v>75</v>
      </c>
      <c r="D35" s="353"/>
      <c r="E35" s="238">
        <f>E17</f>
        <v>0.7</v>
      </c>
      <c r="F35" s="238">
        <f t="shared" ref="F35:L35" si="5">F17</f>
        <v>0.7</v>
      </c>
      <c r="G35" s="238">
        <f t="shared" si="5"/>
        <v>0.5</v>
      </c>
      <c r="H35" s="238">
        <f t="shared" si="5"/>
        <v>0.7</v>
      </c>
      <c r="I35" s="238">
        <f t="shared" si="5"/>
        <v>0.7</v>
      </c>
      <c r="J35" s="238">
        <f t="shared" si="5"/>
        <v>0.6</v>
      </c>
      <c r="K35" s="238">
        <f t="shared" si="5"/>
        <v>0.7</v>
      </c>
      <c r="L35" s="238">
        <f t="shared" si="5"/>
        <v>0.7</v>
      </c>
      <c r="M35" s="240"/>
      <c r="N35" s="165"/>
      <c r="P35" s="167"/>
      <c r="Q35" s="167"/>
      <c r="R35" s="215"/>
      <c r="S35" s="350" t="s">
        <v>76</v>
      </c>
      <c r="T35" s="351"/>
      <c r="U35" s="236">
        <f>U15</f>
        <v>5</v>
      </c>
      <c r="V35" s="237"/>
      <c r="W35" s="171"/>
      <c r="Y35" s="172"/>
      <c r="Z35" s="209"/>
      <c r="AA35" s="130"/>
      <c r="AB35" s="130"/>
      <c r="AC35" s="130"/>
      <c r="AD35" s="130"/>
      <c r="AE35" s="130"/>
      <c r="AF35" s="130"/>
      <c r="AG35" s="253"/>
      <c r="AH35" s="232"/>
      <c r="AI35" s="232"/>
      <c r="AJ35" s="232"/>
      <c r="AK35" s="172"/>
    </row>
    <row r="36" spans="1:105" s="118" customFormat="1" ht="24.95" customHeight="1">
      <c r="A36" s="165"/>
      <c r="B36" s="148"/>
      <c r="C36" s="365" t="s">
        <v>152</v>
      </c>
      <c r="D36" s="366"/>
      <c r="E36" s="258">
        <f t="shared" ref="E36:L36" si="6">E35*E32</f>
        <v>3276</v>
      </c>
      <c r="F36" s="258">
        <f t="shared" si="6"/>
        <v>240.09999999999994</v>
      </c>
      <c r="G36" s="258">
        <f t="shared" si="6"/>
        <v>288</v>
      </c>
      <c r="H36" s="258">
        <f t="shared" si="6"/>
        <v>67.199999999999989</v>
      </c>
      <c r="I36" s="258">
        <f t="shared" si="6"/>
        <v>20.16</v>
      </c>
      <c r="J36" s="258">
        <f t="shared" si="6"/>
        <v>151.19999999999999</v>
      </c>
      <c r="K36" s="258">
        <f t="shared" si="6"/>
        <v>46.199999999999996</v>
      </c>
      <c r="L36" s="259">
        <f t="shared" si="6"/>
        <v>239.39999999999998</v>
      </c>
      <c r="M36" s="256"/>
      <c r="N36" s="165"/>
      <c r="P36" s="167"/>
      <c r="Q36" s="167"/>
      <c r="R36" s="215"/>
      <c r="S36" s="350" t="s">
        <v>153</v>
      </c>
      <c r="T36" s="351"/>
      <c r="U36" s="260">
        <f>IF(U17="Yes",U19, "N/A")</f>
        <v>0.8</v>
      </c>
      <c r="V36" s="261"/>
      <c r="W36" s="171"/>
      <c r="Y36" s="172"/>
      <c r="Z36" s="209"/>
      <c r="AA36" s="130"/>
      <c r="AB36" s="130"/>
      <c r="AC36" s="130"/>
      <c r="AD36" s="130"/>
      <c r="AE36" s="130"/>
      <c r="AF36" s="130"/>
      <c r="AG36" s="172"/>
      <c r="AH36" s="172"/>
      <c r="AI36" s="172"/>
      <c r="AJ36" s="172"/>
      <c r="AK36" s="225"/>
      <c r="AL36" s="194"/>
      <c r="AM36" s="194"/>
      <c r="AN36" s="194"/>
      <c r="AO36" s="194"/>
      <c r="AP36" s="194"/>
      <c r="AQ36" s="194"/>
      <c r="AR36" s="194"/>
      <c r="AS36" s="194"/>
      <c r="AT36" s="194"/>
      <c r="AU36" s="194"/>
      <c r="AV36" s="194"/>
      <c r="AW36" s="194"/>
      <c r="AX36" s="194"/>
      <c r="AY36" s="194"/>
      <c r="AZ36" s="194"/>
      <c r="BA36" s="194"/>
      <c r="BB36" s="194"/>
      <c r="BC36" s="194"/>
      <c r="BD36" s="194"/>
      <c r="BE36" s="194"/>
      <c r="BF36" s="194"/>
      <c r="BG36" s="194"/>
      <c r="BJ36" s="194"/>
      <c r="BK36" s="194"/>
      <c r="BL36" s="194"/>
      <c r="BM36" s="194"/>
      <c r="BN36" s="194"/>
      <c r="BO36" s="194"/>
      <c r="BP36" s="194"/>
      <c r="BQ36" s="194"/>
      <c r="BR36" s="194"/>
      <c r="BS36" s="194"/>
      <c r="BT36" s="194"/>
      <c r="BU36" s="194"/>
      <c r="BV36" s="194"/>
      <c r="BW36" s="194"/>
      <c r="BX36" s="194"/>
      <c r="BY36" s="194"/>
      <c r="BZ36" s="194"/>
      <c r="CA36" s="194"/>
      <c r="CB36" s="194"/>
      <c r="CC36" s="194"/>
      <c r="CD36" s="194"/>
      <c r="CE36" s="194"/>
      <c r="CF36" s="194"/>
      <c r="CG36" s="194"/>
      <c r="CH36" s="194"/>
      <c r="CI36" s="194"/>
      <c r="CJ36" s="194"/>
      <c r="CK36" s="194"/>
      <c r="CL36" s="194"/>
      <c r="CM36" s="194"/>
      <c r="CN36" s="194"/>
      <c r="CO36" s="194"/>
      <c r="CP36" s="194"/>
      <c r="CQ36" s="194"/>
      <c r="CR36" s="194"/>
      <c r="CS36" s="194"/>
      <c r="CT36" s="194"/>
      <c r="CU36" s="194"/>
      <c r="CV36" s="194"/>
      <c r="CW36" s="194"/>
      <c r="CX36" s="194"/>
      <c r="CY36" s="194"/>
      <c r="CZ36" s="194"/>
      <c r="DA36" s="194"/>
    </row>
    <row r="37" spans="1:105" s="118" customFormat="1" ht="24.95" customHeight="1">
      <c r="A37" s="165"/>
      <c r="B37" s="148"/>
      <c r="C37" s="352" t="s">
        <v>79</v>
      </c>
      <c r="D37" s="353"/>
      <c r="E37" s="262">
        <f t="shared" ref="E37:L37" si="7">(1-E35)*E32</f>
        <v>1404.0000000000002</v>
      </c>
      <c r="F37" s="262">
        <f t="shared" si="7"/>
        <v>102.89999999999999</v>
      </c>
      <c r="G37" s="262">
        <f t="shared" si="7"/>
        <v>288</v>
      </c>
      <c r="H37" s="262">
        <f t="shared" si="7"/>
        <v>28.800000000000004</v>
      </c>
      <c r="I37" s="262">
        <f t="shared" si="7"/>
        <v>8.6400000000000023</v>
      </c>
      <c r="J37" s="262">
        <f t="shared" si="7"/>
        <v>100.80000000000001</v>
      </c>
      <c r="K37" s="262">
        <f t="shared" si="7"/>
        <v>19.800000000000004</v>
      </c>
      <c r="L37" s="263">
        <f t="shared" si="7"/>
        <v>102.60000000000001</v>
      </c>
      <c r="M37" s="193"/>
      <c r="N37" s="165"/>
      <c r="P37" s="167"/>
      <c r="Q37" s="167"/>
      <c r="R37" s="215"/>
      <c r="S37" s="359" t="s">
        <v>80</v>
      </c>
      <c r="T37" s="360"/>
      <c r="U37" s="264">
        <f>IF(U17="Yes",(U35*2)+(U36*U35*30),(U35*2))</f>
        <v>130</v>
      </c>
      <c r="V37" s="237"/>
      <c r="W37" s="171"/>
      <c r="Y37" s="172"/>
      <c r="Z37" s="209"/>
      <c r="AA37" s="130"/>
      <c r="AB37" s="130"/>
      <c r="AC37" s="130"/>
      <c r="AD37" s="130"/>
      <c r="AE37" s="130"/>
      <c r="AF37" s="130"/>
      <c r="AG37" s="172"/>
      <c r="AH37" s="172"/>
      <c r="AI37" s="172"/>
      <c r="AJ37" s="172"/>
      <c r="AK37" s="172"/>
    </row>
    <row r="38" spans="1:105" s="118" customFormat="1" ht="24.95" customHeight="1">
      <c r="A38" s="165"/>
      <c r="B38" s="245"/>
      <c r="C38" s="126"/>
      <c r="D38" s="126"/>
      <c r="E38" s="265"/>
      <c r="F38" s="265"/>
      <c r="G38" s="265"/>
      <c r="H38" s="265"/>
      <c r="I38" s="265"/>
      <c r="J38" s="265"/>
      <c r="K38" s="265"/>
      <c r="L38" s="265"/>
      <c r="M38" s="265"/>
      <c r="N38" s="165"/>
      <c r="P38" s="167"/>
      <c r="Q38" s="167"/>
      <c r="R38" s="215"/>
      <c r="S38" s="367" t="s">
        <v>81</v>
      </c>
      <c r="T38" s="368"/>
      <c r="U38" s="266">
        <f>U32*U37</f>
        <v>5244589.3500000006</v>
      </c>
      <c r="V38" s="249"/>
      <c r="W38" s="171"/>
      <c r="Y38" s="172"/>
      <c r="Z38" s="209"/>
      <c r="AA38" s="130"/>
      <c r="AB38" s="130"/>
      <c r="AC38" s="130"/>
      <c r="AD38" s="130"/>
      <c r="AE38" s="130"/>
      <c r="AF38" s="130"/>
      <c r="AG38" s="253"/>
      <c r="AH38" s="225"/>
      <c r="AI38" s="225"/>
      <c r="AJ38" s="225"/>
      <c r="AK38" s="172"/>
    </row>
    <row r="39" spans="1:105" s="118" customFormat="1" ht="27.95" customHeight="1">
      <c r="A39" s="165"/>
      <c r="B39" s="287">
        <v>4</v>
      </c>
      <c r="C39" s="343" t="s">
        <v>154</v>
      </c>
      <c r="D39" s="344"/>
      <c r="E39" s="291" t="s">
        <v>10</v>
      </c>
      <c r="F39" s="291" t="s">
        <v>11</v>
      </c>
      <c r="G39" s="292" t="s">
        <v>12</v>
      </c>
      <c r="H39" s="291" t="s">
        <v>13</v>
      </c>
      <c r="I39" s="291" t="s">
        <v>14</v>
      </c>
      <c r="J39" s="291" t="s">
        <v>15</v>
      </c>
      <c r="K39" s="291" t="s">
        <v>16</v>
      </c>
      <c r="L39" s="293" t="s">
        <v>17</v>
      </c>
      <c r="M39" s="230"/>
      <c r="N39" s="165"/>
      <c r="P39" s="167"/>
      <c r="Q39" s="167"/>
      <c r="R39" s="248"/>
      <c r="S39" s="167"/>
      <c r="T39" s="167"/>
      <c r="U39" s="267"/>
      <c r="V39" s="267"/>
      <c r="W39" s="171"/>
      <c r="Y39" s="172"/>
      <c r="Z39" s="209"/>
      <c r="AA39" s="130"/>
      <c r="AB39" s="130"/>
      <c r="AC39" s="130"/>
      <c r="AD39" s="130"/>
      <c r="AE39" s="130"/>
      <c r="AF39" s="130"/>
      <c r="AG39" s="172"/>
      <c r="AH39" s="225"/>
      <c r="AI39" s="225"/>
      <c r="AJ39" s="225"/>
      <c r="AK39" s="172"/>
      <c r="BH39" s="194"/>
      <c r="BI39" s="194"/>
    </row>
    <row r="40" spans="1:105" s="118" customFormat="1" ht="24.95" customHeight="1">
      <c r="A40" s="124"/>
      <c r="B40" s="268"/>
      <c r="C40" s="348" t="s">
        <v>83</v>
      </c>
      <c r="D40" s="349"/>
      <c r="E40" s="307">
        <v>30</v>
      </c>
      <c r="F40" s="307">
        <v>30</v>
      </c>
      <c r="G40" s="307">
        <v>30</v>
      </c>
      <c r="H40" s="307">
        <v>30</v>
      </c>
      <c r="I40" s="307">
        <v>30</v>
      </c>
      <c r="J40" s="307">
        <v>30</v>
      </c>
      <c r="K40" s="307">
        <v>30</v>
      </c>
      <c r="L40" s="308">
        <v>30</v>
      </c>
      <c r="M40" s="202"/>
      <c r="N40" s="124"/>
      <c r="O40" s="115"/>
      <c r="P40" s="133"/>
      <c r="Q40" s="133"/>
      <c r="R40" s="297">
        <v>4</v>
      </c>
      <c r="S40" s="369" t="s">
        <v>155</v>
      </c>
      <c r="T40" s="370"/>
      <c r="U40" s="371"/>
      <c r="V40" s="231"/>
      <c r="W40" s="171"/>
      <c r="X40" s="115"/>
      <c r="Y40" s="130"/>
      <c r="Z40" s="209"/>
      <c r="AA40" s="130"/>
      <c r="AB40" s="130"/>
      <c r="AC40" s="130"/>
      <c r="AD40" s="130"/>
      <c r="AE40" s="130"/>
      <c r="AF40" s="130"/>
      <c r="AG40" s="253"/>
      <c r="AH40" s="232"/>
      <c r="AI40" s="232"/>
      <c r="AJ40" s="232"/>
      <c r="AK40" s="172"/>
    </row>
    <row r="41" spans="1:105" ht="24.95" customHeight="1">
      <c r="B41" s="268"/>
      <c r="C41" s="352" t="s">
        <v>85</v>
      </c>
      <c r="D41" s="353"/>
      <c r="E41" s="262">
        <f t="shared" ref="E41:L41" si="8">E36</f>
        <v>3276</v>
      </c>
      <c r="F41" s="262">
        <f t="shared" si="8"/>
        <v>240.09999999999994</v>
      </c>
      <c r="G41" s="262">
        <f t="shared" si="8"/>
        <v>288</v>
      </c>
      <c r="H41" s="262">
        <f t="shared" si="8"/>
        <v>67.199999999999989</v>
      </c>
      <c r="I41" s="262">
        <f t="shared" si="8"/>
        <v>20.16</v>
      </c>
      <c r="J41" s="262">
        <f t="shared" si="8"/>
        <v>151.19999999999999</v>
      </c>
      <c r="K41" s="262">
        <f t="shared" si="8"/>
        <v>46.199999999999996</v>
      </c>
      <c r="L41" s="263">
        <f t="shared" si="8"/>
        <v>239.39999999999998</v>
      </c>
      <c r="M41" s="193"/>
      <c r="R41" s="269"/>
      <c r="S41" s="350" t="s">
        <v>86</v>
      </c>
      <c r="T41" s="351"/>
      <c r="U41" s="270">
        <v>25000</v>
      </c>
      <c r="V41" s="249"/>
      <c r="AG41" s="172"/>
      <c r="AH41" s="172"/>
      <c r="AI41" s="172"/>
      <c r="AJ41" s="172"/>
      <c r="AK41" s="225"/>
      <c r="AL41" s="194"/>
      <c r="AM41" s="194"/>
      <c r="AN41" s="194"/>
      <c r="AO41" s="194"/>
      <c r="AP41" s="194"/>
      <c r="AQ41" s="194"/>
      <c r="AR41" s="194"/>
      <c r="AS41" s="194"/>
      <c r="AT41" s="194"/>
      <c r="AU41" s="194"/>
      <c r="AV41" s="194"/>
      <c r="AW41" s="194"/>
      <c r="AX41" s="194"/>
      <c r="AY41" s="194"/>
      <c r="AZ41" s="194"/>
      <c r="BA41" s="194"/>
      <c r="BB41" s="194"/>
      <c r="BC41" s="194"/>
      <c r="BD41" s="194"/>
      <c r="BE41" s="194"/>
      <c r="BF41" s="194"/>
      <c r="BG41" s="194"/>
      <c r="BJ41" s="194"/>
      <c r="BK41" s="194"/>
      <c r="BL41" s="194"/>
      <c r="BM41" s="194"/>
      <c r="BN41" s="194"/>
      <c r="BO41" s="194"/>
      <c r="BP41" s="194"/>
      <c r="BQ41" s="194"/>
      <c r="BR41" s="194"/>
      <c r="BS41" s="194"/>
      <c r="BT41" s="194"/>
      <c r="BU41" s="194"/>
      <c r="BV41" s="194"/>
      <c r="BW41" s="194"/>
      <c r="BX41" s="194"/>
      <c r="BY41" s="194"/>
      <c r="BZ41" s="194"/>
      <c r="CA41" s="194"/>
      <c r="CB41" s="194"/>
      <c r="CC41" s="194"/>
      <c r="CD41" s="194"/>
      <c r="CE41" s="194"/>
      <c r="CF41" s="194"/>
      <c r="CG41" s="194"/>
      <c r="CH41" s="194"/>
      <c r="CI41" s="194"/>
      <c r="CJ41" s="194"/>
      <c r="CK41" s="194"/>
      <c r="CL41" s="194"/>
      <c r="CM41" s="194"/>
      <c r="CN41" s="194"/>
      <c r="CO41" s="194"/>
      <c r="CP41" s="194"/>
      <c r="CQ41" s="194"/>
      <c r="CR41" s="194"/>
      <c r="CS41" s="194"/>
      <c r="CT41" s="194"/>
      <c r="CU41" s="194"/>
      <c r="CV41" s="194"/>
      <c r="CW41" s="194"/>
      <c r="CX41" s="194"/>
      <c r="CY41" s="194"/>
      <c r="CZ41" s="194"/>
      <c r="DA41" s="194"/>
    </row>
    <row r="42" spans="1:105" ht="24.95" customHeight="1">
      <c r="B42" s="268"/>
      <c r="C42" s="361" t="s">
        <v>87</v>
      </c>
      <c r="D42" s="362"/>
      <c r="E42" s="271">
        <f>E40*E41</f>
        <v>98280</v>
      </c>
      <c r="F42" s="271">
        <f t="shared" ref="F42:K42" si="9">F40*F41</f>
        <v>7202.9999999999982</v>
      </c>
      <c r="G42" s="271">
        <f t="shared" si="9"/>
        <v>8640</v>
      </c>
      <c r="H42" s="271">
        <f t="shared" si="9"/>
        <v>2015.9999999999995</v>
      </c>
      <c r="I42" s="271">
        <f t="shared" si="9"/>
        <v>604.79999999999995</v>
      </c>
      <c r="J42" s="271">
        <f t="shared" si="9"/>
        <v>4536</v>
      </c>
      <c r="K42" s="271">
        <f t="shared" si="9"/>
        <v>1385.9999999999998</v>
      </c>
      <c r="L42" s="272">
        <f>L40*L41</f>
        <v>7181.9999999999991</v>
      </c>
      <c r="M42" s="202"/>
      <c r="R42" s="269"/>
      <c r="S42" s="350" t="s">
        <v>88</v>
      </c>
      <c r="T42" s="351"/>
      <c r="U42" s="309">
        <v>200</v>
      </c>
      <c r="V42" s="273"/>
      <c r="AG42" s="172"/>
      <c r="AH42" s="172"/>
      <c r="AI42" s="172"/>
      <c r="AJ42" s="172"/>
    </row>
    <row r="43" spans="1:105" ht="24.95" customHeight="1">
      <c r="B43" s="274"/>
      <c r="R43" s="269"/>
      <c r="S43" s="359" t="s">
        <v>89</v>
      </c>
      <c r="T43" s="360"/>
      <c r="U43" s="264">
        <f>(ROUNDUP(U38/U41,0))</f>
        <v>210</v>
      </c>
      <c r="V43" s="237"/>
      <c r="AG43" s="276"/>
      <c r="AH43" s="225"/>
      <c r="AI43" s="225"/>
      <c r="AJ43" s="225"/>
    </row>
    <row r="44" spans="1:105" ht="24.95" customHeight="1">
      <c r="B44" s="268"/>
      <c r="C44" s="372" t="s">
        <v>90</v>
      </c>
      <c r="D44" s="373"/>
      <c r="E44" s="277">
        <f>SUM(E41:L41)</f>
        <v>4328.2599999999993</v>
      </c>
      <c r="R44" s="269"/>
      <c r="S44" s="363" t="s">
        <v>91</v>
      </c>
      <c r="T44" s="364"/>
      <c r="U44" s="278">
        <f>U42*U43</f>
        <v>42000</v>
      </c>
      <c r="V44" s="279"/>
      <c r="AG44" s="276"/>
      <c r="AH44" s="225"/>
      <c r="AI44" s="225"/>
      <c r="AJ44" s="225"/>
    </row>
    <row r="45" spans="1:105" ht="24.95" customHeight="1">
      <c r="B45" s="268"/>
      <c r="C45" s="374" t="s">
        <v>92</v>
      </c>
      <c r="D45" s="375"/>
      <c r="E45" s="280">
        <f>SUM(E42:L42)</f>
        <v>129847.8</v>
      </c>
      <c r="R45" s="281"/>
      <c r="S45" s="127"/>
      <c r="T45" s="127"/>
      <c r="U45" s="127"/>
      <c r="V45" s="127"/>
      <c r="AH45" s="172"/>
      <c r="AI45" s="172"/>
      <c r="AJ45" s="172"/>
    </row>
    <row r="46" spans="1:105" ht="24.95" customHeight="1">
      <c r="R46" s="297">
        <v>5</v>
      </c>
      <c r="S46" s="369" t="s">
        <v>156</v>
      </c>
      <c r="T46" s="370"/>
      <c r="U46" s="371"/>
      <c r="V46" s="282"/>
      <c r="AH46" s="172"/>
      <c r="AI46" s="172"/>
      <c r="AJ46" s="172"/>
    </row>
    <row r="47" spans="1:105" ht="24.95" customHeight="1">
      <c r="R47" s="269"/>
      <c r="S47" s="350" t="s">
        <v>95</v>
      </c>
      <c r="T47" s="351"/>
      <c r="U47" s="309">
        <v>30</v>
      </c>
      <c r="V47" s="273"/>
      <c r="AH47" s="129"/>
      <c r="AI47" s="129"/>
      <c r="AJ47" s="129"/>
    </row>
    <row r="48" spans="1:105" ht="24.95" customHeight="1">
      <c r="R48" s="269"/>
      <c r="S48" s="359" t="s">
        <v>85</v>
      </c>
      <c r="T48" s="360"/>
      <c r="U48" s="264">
        <f>U28</f>
        <v>1494.1850000000002</v>
      </c>
      <c r="V48" s="237"/>
      <c r="AH48" s="225"/>
      <c r="AI48" s="225"/>
      <c r="AJ48" s="225"/>
    </row>
    <row r="49" spans="18:22" ht="24.95" customHeight="1">
      <c r="R49" s="269"/>
      <c r="S49" s="363" t="s">
        <v>87</v>
      </c>
      <c r="T49" s="364"/>
      <c r="U49" s="278">
        <f>U47*U48</f>
        <v>44825.55</v>
      </c>
      <c r="V49" s="279"/>
    </row>
    <row r="50" spans="18:22" ht="24.95" customHeight="1">
      <c r="R50" s="281"/>
      <c r="U50" s="133"/>
      <c r="V50" s="133"/>
    </row>
    <row r="51" spans="18:22" ht="24.95" customHeight="1"/>
    <row r="52" spans="18:22" ht="24.95" customHeight="1"/>
    <row r="53" spans="18:22" ht="24.95" customHeight="1"/>
    <row r="54" spans="18:22" ht="24.95" customHeight="1"/>
    <row r="55" spans="18:22" ht="24.95" customHeight="1"/>
    <row r="56" spans="18:22" ht="24.95" customHeight="1"/>
    <row r="57" spans="18:22" ht="24.95" customHeight="1"/>
    <row r="58" spans="18:22" ht="24.95" customHeight="1"/>
    <row r="59" spans="18:22" ht="24.95" customHeight="1"/>
    <row r="60" spans="18:22" ht="24.95" customHeight="1"/>
    <row r="61" spans="18:22" ht="24.95" customHeight="1"/>
    <row r="62" spans="18:22" ht="24.95" customHeight="1"/>
    <row r="63" spans="18:22" ht="24.95" customHeight="1"/>
    <row r="64" spans="18:22"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row r="77" ht="24.95" customHeight="1"/>
    <row r="78" ht="24.95" customHeight="1"/>
    <row r="79" ht="24.95" customHeight="1"/>
    <row r="80"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row r="101" ht="24.95" customHeight="1"/>
    <row r="102" ht="24.95" customHeight="1"/>
    <row r="103" ht="24.95" customHeight="1"/>
    <row r="104" ht="24.95" customHeight="1"/>
    <row r="105" ht="24.95" customHeight="1"/>
    <row r="106" ht="24.95" customHeight="1"/>
    <row r="107" ht="24.95" customHeight="1"/>
    <row r="108" ht="24.95" customHeight="1"/>
    <row r="109" ht="24.95" customHeight="1"/>
    <row r="110" ht="24.95" customHeight="1"/>
    <row r="111" ht="24.95" customHeight="1"/>
    <row r="112"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row r="128" ht="24.95" customHeight="1"/>
    <row r="129" ht="24.95" customHeight="1"/>
    <row r="130" ht="24.95" customHeight="1"/>
    <row r="131" ht="24.95" customHeight="1"/>
    <row r="132" ht="24.95" customHeight="1"/>
    <row r="133" ht="24.95" customHeight="1"/>
    <row r="134" ht="24.95" customHeight="1"/>
    <row r="135" ht="24.95" customHeight="1"/>
    <row r="136" ht="24.95" customHeight="1"/>
    <row r="137" ht="24.95" customHeight="1"/>
    <row r="138" ht="24.95" customHeight="1"/>
    <row r="139" ht="24.95" customHeight="1"/>
    <row r="140" ht="24.95" customHeight="1"/>
    <row r="141" ht="24.95" customHeight="1"/>
    <row r="142" ht="24.95" customHeight="1"/>
    <row r="143" ht="24.95" customHeight="1"/>
    <row r="144" ht="24.95" customHeight="1"/>
    <row r="145" ht="24.95" customHeight="1"/>
    <row r="146" ht="24.95" customHeight="1"/>
    <row r="147" ht="24.95" customHeight="1"/>
    <row r="148" ht="24.95" customHeight="1"/>
    <row r="149" ht="24.95" customHeight="1"/>
    <row r="150" ht="24.95" customHeight="1"/>
    <row r="151" ht="24.95" customHeight="1"/>
    <row r="152" ht="24.95" customHeight="1"/>
    <row r="153" ht="24.95" customHeight="1"/>
    <row r="154" ht="24.95" customHeight="1"/>
    <row r="155" ht="24.95" customHeight="1"/>
    <row r="156" ht="24.95" customHeight="1"/>
    <row r="157" ht="24.95" customHeight="1"/>
    <row r="158" ht="24.95" customHeight="1"/>
    <row r="159" ht="24.95" customHeight="1"/>
    <row r="160" ht="24.95" customHeight="1"/>
    <row r="161" ht="24.95" customHeight="1"/>
    <row r="162" ht="24.95" customHeight="1"/>
    <row r="163" ht="24.95" customHeight="1"/>
    <row r="164" ht="24.95" customHeight="1"/>
    <row r="165" ht="24.95" customHeight="1"/>
    <row r="166" ht="24.95" customHeight="1"/>
    <row r="167" ht="21.95" customHeight="1"/>
    <row r="168" ht="21.95" customHeight="1"/>
    <row r="169" ht="21.95" customHeight="1"/>
    <row r="170" ht="21.95" customHeight="1"/>
  </sheetData>
  <mergeCells count="63">
    <mergeCell ref="S46:U46"/>
    <mergeCell ref="S47:T47"/>
    <mergeCell ref="S48:T48"/>
    <mergeCell ref="S49:T49"/>
    <mergeCell ref="C42:D42"/>
    <mergeCell ref="S42:T42"/>
    <mergeCell ref="S43:T43"/>
    <mergeCell ref="C44:D44"/>
    <mergeCell ref="S44:T44"/>
    <mergeCell ref="C45:D45"/>
    <mergeCell ref="S38:T38"/>
    <mergeCell ref="C39:D39"/>
    <mergeCell ref="C40:D40"/>
    <mergeCell ref="S40:U40"/>
    <mergeCell ref="C41:D41"/>
    <mergeCell ref="S41:T41"/>
    <mergeCell ref="C35:D35"/>
    <mergeCell ref="S35:T35"/>
    <mergeCell ref="C36:D36"/>
    <mergeCell ref="S36:T36"/>
    <mergeCell ref="C37:D37"/>
    <mergeCell ref="S37:T37"/>
    <mergeCell ref="C31:D31"/>
    <mergeCell ref="S31:T31"/>
    <mergeCell ref="C32:D32"/>
    <mergeCell ref="S32:T32"/>
    <mergeCell ref="C34:D34"/>
    <mergeCell ref="S34:U34"/>
    <mergeCell ref="C27:D27"/>
    <mergeCell ref="S27:T27"/>
    <mergeCell ref="C28:D28"/>
    <mergeCell ref="S28:T28"/>
    <mergeCell ref="AA29:AD30"/>
    <mergeCell ref="C30:D30"/>
    <mergeCell ref="S30:U30"/>
    <mergeCell ref="B23:M23"/>
    <mergeCell ref="S23:U23"/>
    <mergeCell ref="C25:D25"/>
    <mergeCell ref="S25:U25"/>
    <mergeCell ref="C26:D26"/>
    <mergeCell ref="S26:T26"/>
    <mergeCell ref="B22:M22"/>
    <mergeCell ref="S22:U22"/>
    <mergeCell ref="S7:U7"/>
    <mergeCell ref="AA7:AI7"/>
    <mergeCell ref="S8:U8"/>
    <mergeCell ref="AA8:AI8"/>
    <mergeCell ref="AA9:AI9"/>
    <mergeCell ref="AA11:AC12"/>
    <mergeCell ref="AH11:AI12"/>
    <mergeCell ref="AA13:AB13"/>
    <mergeCell ref="AA14:AB14"/>
    <mergeCell ref="AA15:AB15"/>
    <mergeCell ref="AA21:AC21"/>
    <mergeCell ref="AH21:AI21"/>
    <mergeCell ref="AA16:AB16"/>
    <mergeCell ref="B6:L6"/>
    <mergeCell ref="S6:U6"/>
    <mergeCell ref="BH1:BI1"/>
    <mergeCell ref="C2:L2"/>
    <mergeCell ref="S2:U2"/>
    <mergeCell ref="AA2:AI2"/>
    <mergeCell ref="B5:L5"/>
  </mergeCells>
  <dataValidations count="2">
    <dataValidation type="list" allowBlank="1" showInputMessage="1" showErrorMessage="1" sqref="V17" xr:uid="{8C5819CE-D5D4-4F8B-8F52-0A2C634D1140}">
      <formula1>$DG$10:$DG$11</formula1>
    </dataValidation>
    <dataValidation type="list" allowBlank="1" showInputMessage="1" showErrorMessage="1" sqref="U17" xr:uid="{8676E8E5-3250-48A4-8266-60895B1513BF}">
      <formula1>$AV$1:$AV$2</formula1>
    </dataValidation>
  </dataValidations>
  <hyperlinks>
    <hyperlink ref="S12" r:id="rId1" display="Learn more about Copilot Chat Agents here" xr:uid="{97A0C4CD-79FB-4648-B774-AF6C5041D696}"/>
    <hyperlink ref="C14" r:id="rId2" xr:uid="{2FCECF94-5A18-46E3-8928-29155B050592}"/>
    <hyperlink ref="C19" r:id="rId3" xr:uid="{21863209-72E7-499E-8298-3F96DF439155}"/>
  </hyperlinks>
  <pageMargins left="0.7" right="0.7" top="0.75" bottom="0.75" header="0.3" footer="0.3"/>
  <pageSetup orientation="portrait" r:id="rId4"/>
  <headerFooter>
    <oddFooter>&amp;L_x000D_&amp;1#&amp;"Calibri"&amp;10&amp;K000000 Classified as Microsoft Confidential</oddFooter>
  </headerFooter>
  <ignoredErrors>
    <ignoredError sqref="U9" unlockedFormula="1"/>
  </ignoredErrors>
  <drawing r:id="rId5"/>
  <legacyDrawing r:id="rId6"/>
  <extLst>
    <ext xmlns:x14="http://schemas.microsoft.com/office/spreadsheetml/2009/9/main" uri="{78C0D931-6437-407d-A8EE-F0AAD7539E65}">
      <x14:conditionalFormattings>
        <x14:conditionalFormatting xmlns:xm="http://schemas.microsoft.com/office/excel/2006/main">
          <x14:cfRule type="containsText" priority="1" operator="containsText" id="{0B9632BA-B3B5-4CF4-9686-5FE4671F54F7}">
            <xm:f>NOT(ISERROR(SEARCH("Copilot Chat",AA19)))</xm:f>
            <xm:f>"Copilot Chat"</xm:f>
            <x14:dxf>
              <font>
                <b/>
                <i val="0"/>
                <strike val="0"/>
                <color theme="0"/>
              </font>
              <fill>
                <patternFill>
                  <bgColor rgb="FF9900FF"/>
                </patternFill>
              </fill>
            </x14:dxf>
          </x14:cfRule>
          <x14:cfRule type="containsText" priority="2" operator="containsText" id="{859B53F2-F866-4175-9961-48163DDF43DF}">
            <xm:f>NOT(ISERROR(SEARCH("M365 Copilot",AA19)))</xm:f>
            <xm:f>"M365 Copilot"</xm:f>
            <x14:dxf>
              <font>
                <b/>
                <i val="0"/>
                <strike val="0"/>
                <color theme="0"/>
              </font>
              <fill>
                <patternFill>
                  <bgColor theme="8" tint="0.39994506668294322"/>
                </patternFill>
              </fill>
            </x14:dxf>
          </x14:cfRule>
          <xm:sqref>AA19:AA22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Reviewed_x003f_ xmlns="71f1f120-f20f-4439-80f5-0c00e87e45e5">false</Reviewed_x003f_>
    <Notes xmlns="71f1f120-f20f-4439-80f5-0c00e87e45e5" xsi:nil="true"/>
    <AdditionalReview xmlns="71f1f120-f20f-4439-80f5-0c00e87e45e5">false</AdditionalReview>
    <HasDigitalSignature xmlns="71f1f120-f20f-4439-80f5-0c00e87e45e5" xsi:nil="true"/>
    <ImageTagsTaxHTField xmlns="71f1f120-f20f-4439-80f5-0c00e87e45e5">
      <Terms xmlns="http://schemas.microsoft.com/office/infopath/2007/PartnerControls"/>
    </ImageTagsTaxHTField>
    <DigitalSignatureProvider xmlns="71f1f120-f20f-4439-80f5-0c00e87e45e5" xsi:nil="true"/>
    <TaxCatchAll xmlns="230e9df3-be65-4c73-a93b-d1236ebd677e" xsi:nil="true"/>
    <Reviewed xmlns="71f1f120-f20f-4439-80f5-0c00e87e45e5">true</Reviewe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D6103D478F59A418314044D209180AB" ma:contentTypeVersion="29" ma:contentTypeDescription="Create a new document." ma:contentTypeScope="" ma:versionID="92fe6756bfc426a43c8a79886458e9a8">
  <xsd:schema xmlns:xsd="http://www.w3.org/2001/XMLSchema" xmlns:xs="http://www.w3.org/2001/XMLSchema" xmlns:p="http://schemas.microsoft.com/office/2006/metadata/properties" xmlns:ns1="http://schemas.microsoft.com/sharepoint/v3" xmlns:ns2="71f1f120-f20f-4439-80f5-0c00e87e45e5" xmlns:ns3="230e9df3-be65-4c73-a93b-d1236ebd677e" xmlns:ns4="debb5864-8a30-424d-86a9-594811468b06" targetNamespace="http://schemas.microsoft.com/office/2006/metadata/properties" ma:root="true" ma:fieldsID="a264e261d2eea23bf2b0aa2296810f0c" ns1:_="" ns2:_="" ns3:_="" ns4:_="">
    <xsd:import namespace="http://schemas.microsoft.com/sharepoint/v3"/>
    <xsd:import namespace="71f1f120-f20f-4439-80f5-0c00e87e45e5"/>
    <xsd:import namespace="230e9df3-be65-4c73-a93b-d1236ebd677e"/>
    <xsd:import namespace="debb5864-8a30-424d-86a9-594811468b06"/>
    <xsd:element name="properties">
      <xsd:complexType>
        <xsd:sequence>
          <xsd:element name="documentManagement">
            <xsd:complexType>
              <xsd:all>
                <xsd:element ref="ns2:MediaServiceMetadata" minOccurs="0"/>
                <xsd:element ref="ns2:MediaServiceFastMetadata" minOccurs="0"/>
                <xsd:element ref="ns2:ImageTagsTaxHTField" minOccurs="0"/>
                <xsd:element ref="ns3:TaxCatchAll" minOccurs="0"/>
                <xsd:element ref="ns2:MediaServiceAutoKeyPoints" minOccurs="0"/>
                <xsd:element ref="ns2:MediaServiceKeyPoints" minOccurs="0"/>
                <xsd:element ref="ns4:SharedWithUsers" minOccurs="0"/>
                <xsd:element ref="ns4:SharedWithDetail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Notes" minOccurs="0"/>
                <xsd:element ref="ns1:_ip_UnifiedCompliancePolicyProperties" minOccurs="0"/>
                <xsd:element ref="ns1:_ip_UnifiedCompliancePolicyUIAction" minOccurs="0"/>
                <xsd:element ref="ns2:MediaServiceSearchProperties" minOccurs="0"/>
                <xsd:element ref="ns2:MediaServiceDocTags" minOccurs="0"/>
                <xsd:element ref="ns2:MediaServiceObjectDetectorVersions" minOccurs="0"/>
                <xsd:element ref="ns2:MediaServiceSystemTags" minOccurs="0"/>
                <xsd:element ref="ns2:MediaServiceLocation" minOccurs="0"/>
                <xsd:element ref="ns2:MediaServiceBillingMetadata" minOccurs="0"/>
                <xsd:element ref="ns2:Reviewed_x003f_" minOccurs="0"/>
                <xsd:element ref="ns2:AdditionalReview" minOccurs="0"/>
                <xsd:element ref="ns2:Reviewed" minOccurs="0"/>
                <xsd:element ref="ns2:HasDigitalSignature" minOccurs="0"/>
                <xsd:element ref="ns2:DigitalSignatureProvi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f1f120-f20f-4439-80f5-0c00e87e45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ImageTagsTaxHTField" ma:index="11"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Notes" ma:index="22" nillable="true" ma:displayName="Notes" ma:format="Dropdown" ma:internalName="Notes">
      <xsd:simpleType>
        <xsd:restriction base="dms:Note">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ocTags" ma:index="26" nillable="true" ma:displayName="MediaServiceDocTags" ma:hidden="true" ma:internalName="MediaServiceDocTags"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ystemTags" ma:index="28" nillable="true" ma:displayName="MediaServiceSystemTags" ma:hidden="true" ma:internalName="MediaServiceSystemTags" ma:readOnly="true">
      <xsd:simpleType>
        <xsd:restriction base="dms:Note"/>
      </xsd:simpleType>
    </xsd:element>
    <xsd:element name="MediaServiceLocation" ma:index="29" nillable="true" ma:displayName="Loca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Text"/>
      </xsd:simpleType>
    </xsd:element>
    <xsd:element name="Reviewed_x003f_" ma:index="31" nillable="true" ma:displayName="Reviewed?" ma:default="0" ma:format="Dropdown" ma:internalName="Reviewed_x003f_">
      <xsd:simpleType>
        <xsd:restriction base="dms:Boolean"/>
      </xsd:simpleType>
    </xsd:element>
    <xsd:element name="AdditionalReview" ma:index="32" nillable="true" ma:displayName="Additional Review" ma:default="0" ma:format="Dropdown" ma:internalName="AdditionalReview">
      <xsd:simpleType>
        <xsd:restriction base="dms:Boolean"/>
      </xsd:simpleType>
    </xsd:element>
    <xsd:element name="Reviewed" ma:index="33" nillable="true" ma:displayName="Reviewed" ma:default="1" ma:format="Dropdown" ma:internalName="Reviewed">
      <xsd:simpleType>
        <xsd:restriction base="dms:Boolean"/>
      </xsd:simpleType>
    </xsd:element>
    <xsd:element name="HasDigitalSignature" ma:index="34" nillable="true" ma:displayName="Has Digital Signature" ma:internalName="HasDigitalSignature" ma:readOnly="false">
      <xsd:simpleType>
        <xsd:restriction base="dms:Boolean"/>
      </xsd:simpleType>
    </xsd:element>
    <xsd:element name="DigitalSignatureProvider" ma:index="35" nillable="true" ma:displayName="Digital Signature Provider" ma:internalName="DigitalSignatureProvider"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92f0aa1-b272-4bdc-b151-be65ae5f0c8f}" ma:internalName="TaxCatchAll" ma:showField="CatchAllData" ma:web="debb5864-8a30-424d-86a9-594811468b0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ebb5864-8a30-424d-86a9-594811468b0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3CF1E9-EE3D-441A-A56A-5DBC76C6D391}"/>
</file>

<file path=customXml/itemProps2.xml><?xml version="1.0" encoding="utf-8"?>
<ds:datastoreItem xmlns:ds="http://schemas.openxmlformats.org/officeDocument/2006/customXml" ds:itemID="{7CF1B62E-C2E2-404B-A3B0-083E875AA3C0}"/>
</file>

<file path=customXml/itemProps3.xml><?xml version="1.0" encoding="utf-8"?>
<ds:datastoreItem xmlns:ds="http://schemas.openxmlformats.org/officeDocument/2006/customXml" ds:itemID="{B8EB6400-BFF1-4BB2-A946-B5EBE6C5F4E5}"/>
</file>

<file path=docMetadata/LabelInfo.xml><?xml version="1.0" encoding="utf-8"?>
<clbl:labelList xmlns:clbl="http://schemas.microsoft.com/office/2020/mipLabelMetadata">
  <clbl:label id="{1a19d03a-48bc-4359-8038-5b5f6d5847c3}" enabled="1" method="Privileged" siteId="{72f988bf-86f1-41af-91ab-2d7cd011db47}"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Andrews Bryant</dc:creator>
  <cp:keywords/>
  <dc:description/>
  <cp:lastModifiedBy/>
  <cp:revision/>
  <dcterms:created xsi:type="dcterms:W3CDTF">2024-12-18T17:43:44Z</dcterms:created>
  <dcterms:modified xsi:type="dcterms:W3CDTF">2026-02-17T22:13:45Z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0x0101009D6103D478F59A418314044D209180AB</vt:lpwstr>
  </property>
</Properties>
</file>